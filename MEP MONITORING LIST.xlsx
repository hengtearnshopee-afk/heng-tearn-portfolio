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:\03. CON\3. PM or Project Document\2. Document Register\MEP Tracking List\"/>
    </mc:Choice>
  </mc:AlternateContent>
  <xr:revisionPtr revIDLastSave="0" documentId="13_ncr:1_{8ACCED07-1412-495B-8EFF-11E01B17D1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OP DRAWING MEP" sheetId="17" r:id="rId1"/>
    <sheet name="MAR MEP  " sheetId="9" r:id="rId2"/>
    <sheet name="NCR &amp; RFI" sheetId="18" r:id="rId3"/>
    <sheet name="REQUEST FOR INSPECTION (RI)" sheetId="19" r:id="rId4"/>
    <sheet name="SMCD INTERNAL WORK" sheetId="20" r:id="rId5"/>
  </sheets>
  <definedNames>
    <definedName name="_xlnm._FilterDatabase" localSheetId="0" hidden="1">'SHOP DRAWING MEP'!$B$9:$W$179</definedName>
    <definedName name="_xlnm.Print_Area" localSheetId="1">'MAR MEP  '!$A$1:$V$76</definedName>
    <definedName name="_xlnm.Print_Area" localSheetId="2">'NCR &amp; RFI'!$A$1:$P$21</definedName>
    <definedName name="_xlnm.Print_Area" localSheetId="3">'REQUEST FOR INSPECTION (RI)'!$A$1:$M$19</definedName>
    <definedName name="_xlnm.Print_Area" localSheetId="0">'SHOP DRAWING MEP'!$A$1:$W$287</definedName>
    <definedName name="_xlnm.Print_Area" localSheetId="4">'SMCD INTERNAL WORK'!$A$1:$R$20</definedName>
    <definedName name="_xlnm.Print_Titles" localSheetId="1">'MAR MEP  '!$1:$10</definedName>
    <definedName name="_xlnm.Print_Titles" localSheetId="2">'NCR &amp; RFI'!$9:$12</definedName>
    <definedName name="_xlnm.Print_Titles" localSheetId="3">'REQUEST FOR INSPECTION (RI)'!$9:$11</definedName>
    <definedName name="_xlnm.Print_Titles" localSheetId="0">'SHOP DRAWING MEP'!$9:$11</definedName>
    <definedName name="_xlnm.Print_Titles" localSheetId="4">'SMCD INTERNAL WORK'!$9:$12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7" l="1"/>
  <c r="B14" i="17"/>
  <c r="B15" i="17" s="1"/>
  <c r="B16" i="17" l="1"/>
  <c r="B17" i="17" s="1"/>
  <c r="B67" i="9" l="1"/>
  <c r="B51" i="9" l="1"/>
  <c r="B49" i="9"/>
  <c r="B44" i="9"/>
  <c r="B45" i="9" s="1"/>
  <c r="B46" i="9" s="1"/>
  <c r="B47" i="9" s="1"/>
  <c r="B40" i="9"/>
  <c r="B41" i="9" s="1"/>
  <c r="B42" i="9" s="1"/>
  <c r="B31" i="9" l="1"/>
  <c r="B32" i="9" s="1"/>
  <c r="B37" i="9"/>
  <c r="B38" i="9" s="1"/>
  <c r="B34" i="9"/>
  <c r="B39" i="20" l="1"/>
  <c r="P7" i="20" s="1"/>
  <c r="C7" i="20"/>
  <c r="B38" i="19"/>
  <c r="K7" i="19" s="1"/>
  <c r="C7" i="19"/>
  <c r="B40" i="18"/>
  <c r="C7" i="18"/>
  <c r="B75" i="9"/>
  <c r="B53" i="9"/>
  <c r="B16" i="9"/>
  <c r="B56" i="9" l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54" i="9"/>
  <c r="B17" i="9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P5" i="20"/>
  <c r="P4" i="20"/>
  <c r="P6" i="20"/>
  <c r="P3" i="20"/>
  <c r="K5" i="19"/>
  <c r="K6" i="19"/>
  <c r="K4" i="19"/>
  <c r="K3" i="19"/>
  <c r="N7" i="18"/>
  <c r="N4" i="18" l="1"/>
  <c r="N5" i="18"/>
  <c r="N3" i="18"/>
  <c r="N6" i="18"/>
  <c r="B287" i="17" l="1"/>
  <c r="B21" i="17" l="1"/>
  <c r="B22" i="17" l="1"/>
  <c r="B23" i="17" l="1"/>
  <c r="B95" i="9"/>
  <c r="T7" i="9" s="1"/>
  <c r="B24" i="17" l="1"/>
  <c r="B25" i="17" s="1"/>
  <c r="T6" i="9"/>
  <c r="T3" i="9"/>
  <c r="T5" i="9"/>
  <c r="T4" i="9"/>
  <c r="B26" i="17" l="1"/>
  <c r="B27" i="17" l="1"/>
  <c r="B28" i="17" s="1"/>
  <c r="B30" i="17" s="1"/>
  <c r="B31" i="17" l="1"/>
  <c r="B32" i="17" s="1"/>
  <c r="B33" i="17" l="1"/>
  <c r="B34" i="17" l="1"/>
  <c r="B35" i="17" l="1"/>
  <c r="B36" i="17" l="1"/>
  <c r="B37" i="17" l="1"/>
  <c r="B38" i="17" l="1"/>
  <c r="B39" i="17" l="1"/>
  <c r="B40" i="17" s="1"/>
  <c r="B41" i="17" l="1"/>
  <c r="B43" i="17" s="1"/>
  <c r="B46" i="17" s="1"/>
  <c r="B47" i="17" s="1"/>
  <c r="B48" i="17" l="1"/>
  <c r="B49" i="17" s="1"/>
  <c r="B50" i="17" l="1"/>
  <c r="B51" i="17" l="1"/>
  <c r="B52" i="17" l="1"/>
  <c r="B53" i="17" s="1"/>
  <c r="B55" i="17" s="1"/>
  <c r="B56" i="17" l="1"/>
  <c r="B57" i="17" s="1"/>
  <c r="B58" i="17" l="1"/>
  <c r="B60" i="17" l="1"/>
  <c r="B61" i="17" l="1"/>
  <c r="B62" i="17" l="1"/>
  <c r="B63" i="17" s="1"/>
  <c r="B66" i="17" l="1"/>
  <c r="B67" i="17" s="1"/>
  <c r="B68" i="17" s="1"/>
  <c r="B69" i="17" s="1"/>
  <c r="B70" i="17" s="1"/>
  <c r="B71" i="17" l="1"/>
  <c r="B72" i="17" s="1"/>
  <c r="B74" i="17" l="1"/>
  <c r="B75" i="17" s="1"/>
  <c r="B76" i="17" s="1"/>
  <c r="B78" i="17" l="1"/>
  <c r="B79" i="17" l="1"/>
  <c r="B80" i="17" l="1"/>
  <c r="B83" i="17" s="1"/>
  <c r="B84" i="17" l="1"/>
  <c r="B85" i="17" s="1"/>
  <c r="B86" i="17" l="1"/>
  <c r="B87" i="17" s="1"/>
  <c r="B88" i="17" s="1"/>
  <c r="B89" i="17" l="1"/>
  <c r="B90" i="17" s="1"/>
  <c r="B92" i="17" s="1"/>
  <c r="B93" i="17" s="1"/>
  <c r="B94" i="17" s="1"/>
  <c r="B95" i="17" s="1"/>
  <c r="B96" i="17" l="1"/>
  <c r="B97" i="17" s="1"/>
  <c r="B99" i="17" l="1"/>
  <c r="B102" i="17" s="1"/>
  <c r="B103" i="17" l="1"/>
  <c r="B104" i="17" s="1"/>
  <c r="B105" i="17" s="1"/>
  <c r="B106" i="17" l="1"/>
  <c r="B107" i="17" s="1"/>
  <c r="B108" i="17" l="1"/>
  <c r="B110" i="17" l="1"/>
  <c r="B111" i="17" l="1"/>
  <c r="B112" i="17" l="1"/>
  <c r="B113" i="17" s="1"/>
  <c r="B115" i="17" s="1"/>
  <c r="B116" i="17" s="1"/>
  <c r="B119" i="17" l="1"/>
  <c r="B120" i="17" s="1"/>
  <c r="B121" i="17" s="1"/>
  <c r="B122" i="17" s="1"/>
  <c r="B123" i="17" l="1"/>
  <c r="B124" i="17" s="1"/>
  <c r="B125" i="17" l="1"/>
  <c r="B127" i="17" l="1"/>
  <c r="B128" i="17" l="1"/>
  <c r="B129" i="17" l="1"/>
  <c r="B131" i="17" l="1"/>
  <c r="B132" i="17" s="1"/>
  <c r="B133" i="17" s="1"/>
  <c r="B136" i="17" l="1"/>
  <c r="B137" i="17" s="1"/>
  <c r="B138" i="17" l="1"/>
  <c r="B139" i="17" l="1"/>
  <c r="B140" i="17" l="1"/>
  <c r="B141" i="17" l="1"/>
  <c r="B142" i="17" s="1"/>
  <c r="B144" i="17" s="1"/>
  <c r="B145" i="17" l="1"/>
  <c r="B146" i="17" l="1"/>
  <c r="B147" i="17" s="1"/>
  <c r="B150" i="17" s="1"/>
  <c r="B151" i="17" l="1"/>
  <c r="B152" i="17" l="1"/>
  <c r="B153" i="17" l="1"/>
  <c r="B154" i="17" s="1"/>
  <c r="B155" i="17" l="1"/>
  <c r="B156" i="17" l="1"/>
  <c r="B158" i="17" l="1"/>
  <c r="B159" i="17" l="1"/>
  <c r="B160" i="17" l="1"/>
  <c r="B162" i="17" l="1"/>
  <c r="B163" i="17" s="1"/>
  <c r="B164" i="17" l="1"/>
  <c r="B167" i="17" s="1"/>
  <c r="B168" i="17" s="1"/>
  <c r="B169" i="17" s="1"/>
  <c r="B170" i="17" l="1"/>
  <c r="B171" i="17" l="1"/>
  <c r="B172" i="17" s="1"/>
  <c r="B173" i="17" l="1"/>
  <c r="B175" i="17" l="1"/>
  <c r="B176" i="17" s="1"/>
  <c r="B177" i="17" s="1"/>
  <c r="B180" i="17" l="1"/>
  <c r="B181" i="17" l="1"/>
  <c r="B182" i="17" s="1"/>
  <c r="B183" i="17" l="1"/>
  <c r="B184" i="17" s="1"/>
  <c r="B185" i="17" s="1"/>
  <c r="B186" i="17" l="1"/>
  <c r="B187" i="17" l="1"/>
  <c r="B188" i="17" l="1"/>
  <c r="B190" i="17" l="1"/>
  <c r="B192" i="17" s="1"/>
  <c r="B194" i="17" l="1"/>
  <c r="B193" i="17"/>
  <c r="B197" i="17" l="1"/>
  <c r="B198" i="17" s="1"/>
  <c r="B199" i="17" l="1"/>
  <c r="B200" i="17" l="1"/>
  <c r="B201" i="17" l="1"/>
  <c r="B202" i="17" s="1"/>
  <c r="B203" i="17" l="1"/>
  <c r="B204" i="17" l="1"/>
  <c r="B205" i="17" l="1"/>
  <c r="B206" i="17" l="1"/>
  <c r="B207" i="17" l="1"/>
  <c r="B209" i="17" l="1"/>
  <c r="B210" i="17" l="1"/>
  <c r="B211" i="17" l="1"/>
  <c r="B212" i="17" l="1"/>
  <c r="B213" i="17" l="1"/>
  <c r="B215" i="17" l="1"/>
  <c r="B216" i="17" s="1"/>
  <c r="B217" i="17" l="1"/>
  <c r="B220" i="17" l="1"/>
  <c r="B221" i="17" l="1"/>
  <c r="B222" i="17" l="1"/>
  <c r="B223" i="17" l="1"/>
  <c r="B224" i="17" l="1"/>
  <c r="B225" i="17" s="1"/>
  <c r="B226" i="17" l="1"/>
  <c r="B227" i="17" l="1"/>
  <c r="B229" i="17" l="1"/>
  <c r="B230" i="17" s="1"/>
  <c r="B233" i="17" l="1"/>
  <c r="B234" i="17" l="1"/>
  <c r="B235" i="17" l="1"/>
  <c r="B238" i="17" l="1"/>
  <c r="B239" i="17" l="1"/>
  <c r="B240" i="17" l="1"/>
  <c r="B241" i="17" l="1"/>
  <c r="B242" i="17" l="1"/>
  <c r="B244" i="17" l="1"/>
  <c r="B245" i="17" l="1"/>
  <c r="B246" i="17" l="1"/>
  <c r="B247" i="17" l="1"/>
  <c r="B248" i="17" l="1"/>
  <c r="B249" i="17" l="1"/>
  <c r="B250" i="17" s="1"/>
  <c r="B251" i="17" s="1"/>
  <c r="B253" i="17" l="1"/>
  <c r="B254" i="17" l="1"/>
  <c r="B255" i="17" s="1"/>
  <c r="B258" i="17" s="1"/>
  <c r="B259" i="17" s="1"/>
  <c r="B260" i="17" s="1"/>
  <c r="B261" i="17" s="1"/>
  <c r="B262" i="17" l="1"/>
  <c r="B263" i="17" s="1"/>
  <c r="B264" i="17" s="1"/>
  <c r="B265" i="17" l="1"/>
  <c r="B267" i="17" s="1"/>
  <c r="B268" i="17" l="1"/>
  <c r="B269" i="17" s="1"/>
  <c r="B271" i="17" s="1"/>
  <c r="B272" i="17" l="1"/>
  <c r="B273" i="17" l="1"/>
  <c r="B276" i="17" l="1"/>
  <c r="B277" i="17" s="1"/>
  <c r="B278" i="17" s="1"/>
  <c r="B279" i="17" s="1"/>
  <c r="B280" i="17" s="1"/>
  <c r="B281" i="17" s="1"/>
  <c r="B283" i="17" l="1"/>
  <c r="U6" i="17" l="1"/>
  <c r="B286" i="17"/>
  <c r="U4" i="17" l="1"/>
  <c r="U3" i="17"/>
  <c r="U5" i="17"/>
  <c r="U2" i="17"/>
</calcChain>
</file>

<file path=xl/sharedStrings.xml><?xml version="1.0" encoding="utf-8"?>
<sst xmlns="http://schemas.openxmlformats.org/spreadsheetml/2006/main" count="1589" uniqueCount="641">
  <si>
    <t>I</t>
  </si>
  <si>
    <t>II</t>
  </si>
  <si>
    <t xml:space="preserve">No. </t>
  </si>
  <si>
    <t xml:space="preserve"> </t>
  </si>
  <si>
    <t>DT.No.</t>
  </si>
  <si>
    <t>STATUS</t>
  </si>
  <si>
    <t>COMMENT</t>
  </si>
  <si>
    <t>REMARK</t>
  </si>
  <si>
    <t>A</t>
  </si>
  <si>
    <t>B</t>
  </si>
  <si>
    <t>C</t>
  </si>
  <si>
    <t>U/R</t>
  </si>
  <si>
    <t>: Approval</t>
  </si>
  <si>
    <t>: Approved with comment</t>
  </si>
  <si>
    <t xml:space="preserve">Basement Floor </t>
  </si>
  <si>
    <t xml:space="preserve">Ground Floor </t>
  </si>
  <si>
    <t xml:space="preserve">Roof Floor </t>
  </si>
  <si>
    <t>RETURNED DATE</t>
  </si>
  <si>
    <t>E</t>
  </si>
  <si>
    <t>DT-MEP-043</t>
  </si>
  <si>
    <t xml:space="preserve">Electrical </t>
  </si>
  <si>
    <t xml:space="preserve">Plumbing </t>
  </si>
  <si>
    <t xml:space="preserve">MVAC </t>
  </si>
  <si>
    <t>: Return/Reject</t>
  </si>
  <si>
    <t>P</t>
  </si>
  <si>
    <t>D</t>
  </si>
  <si>
    <t>F</t>
  </si>
  <si>
    <t>J</t>
  </si>
  <si>
    <t>K</t>
  </si>
  <si>
    <t>L</t>
  </si>
  <si>
    <t>M</t>
  </si>
  <si>
    <t>N</t>
  </si>
  <si>
    <t>O</t>
  </si>
  <si>
    <t xml:space="preserve"> SUBMITTED 
DATE</t>
  </si>
  <si>
    <t>Rev.A</t>
  </si>
  <si>
    <t>Rev.B</t>
  </si>
  <si>
    <t>Rev.C</t>
  </si>
  <si>
    <t>DT-MEP-071</t>
  </si>
  <si>
    <t>DT-MEP-079</t>
  </si>
  <si>
    <t>DT-MEP-037</t>
  </si>
  <si>
    <t>DT-MEP-032</t>
  </si>
  <si>
    <t>DT-MEP-039</t>
  </si>
  <si>
    <t>DT-MEP-044</t>
  </si>
  <si>
    <t>DT-MEP-042</t>
  </si>
  <si>
    <t>DT-MEP-048</t>
  </si>
  <si>
    <t>DT-MEP-057</t>
  </si>
  <si>
    <t>DT-MEP-069</t>
  </si>
  <si>
    <t>DT-MEP-070</t>
  </si>
  <si>
    <t>DT-MEP-064</t>
  </si>
  <si>
    <t>DT-MEP-068</t>
  </si>
  <si>
    <t>DT-MEP-067</t>
  </si>
  <si>
    <t>DT-MEP-095</t>
  </si>
  <si>
    <t>DT-MEP-096</t>
  </si>
  <si>
    <t>DT-MEP-094</t>
  </si>
  <si>
    <t xml:space="preserve">Number table </t>
  </si>
  <si>
    <t>DT-MEP-097</t>
  </si>
  <si>
    <t>DT-MEP-080</t>
  </si>
  <si>
    <t>DT-MEP-076</t>
  </si>
  <si>
    <t>DT-MEP-077</t>
  </si>
  <si>
    <t>DT-MEP-078</t>
  </si>
  <si>
    <t>MEP-001</t>
  </si>
  <si>
    <t xml:space="preserve">Material Cu/PVC cable for earthing </t>
  </si>
  <si>
    <t>5207-M(1)</t>
  </si>
  <si>
    <t>MEP-002</t>
  </si>
  <si>
    <t xml:space="preserve">Material PVC conduit for electrical wiring </t>
  </si>
  <si>
    <t>MEP-006</t>
  </si>
  <si>
    <t xml:space="preserve">Material PVC pipe product </t>
  </si>
  <si>
    <t>MEP-009</t>
  </si>
  <si>
    <t>MEP-010</t>
  </si>
  <si>
    <t>Material Selection &amp; specifition</t>
  </si>
  <si>
    <t xml:space="preserve">Material PPR Pipe and fitting </t>
  </si>
  <si>
    <t>MEP-019</t>
  </si>
  <si>
    <t>MEP-040</t>
  </si>
  <si>
    <t xml:space="preserve">Material SCG pipe and fitting </t>
  </si>
  <si>
    <t>5207-M(2)</t>
  </si>
  <si>
    <t>MEP-029</t>
  </si>
  <si>
    <t xml:space="preserve">Material uPVC conduit and fitting for electrical system </t>
  </si>
  <si>
    <t>MEP-031</t>
  </si>
  <si>
    <t>MEP-033</t>
  </si>
  <si>
    <t>MEP-034</t>
  </si>
  <si>
    <t xml:space="preserve">Sample board of uPVC conduit and fitting </t>
  </si>
  <si>
    <t>MEP-047</t>
  </si>
  <si>
    <t>MEP-061</t>
  </si>
  <si>
    <t>MEP-060</t>
  </si>
  <si>
    <t>MEP-063</t>
  </si>
  <si>
    <r>
      <t>5</t>
    </r>
    <r>
      <rPr>
        <b/>
        <vertAlign val="superscript"/>
        <sz val="11"/>
        <color theme="1"/>
        <rFont val="Times New Roman"/>
        <family val="1"/>
      </rPr>
      <t>th</t>
    </r>
    <r>
      <rPr>
        <b/>
        <sz val="11"/>
        <color theme="1"/>
        <rFont val="Times New Roman"/>
        <family val="1"/>
      </rPr>
      <t xml:space="preserve"> Floor</t>
    </r>
  </si>
  <si>
    <r>
      <t>8</t>
    </r>
    <r>
      <rPr>
        <b/>
        <vertAlign val="superscript"/>
        <sz val="11"/>
        <color theme="1"/>
        <rFont val="Times New Roman"/>
        <family val="1"/>
      </rPr>
      <t>th</t>
    </r>
    <r>
      <rPr>
        <b/>
        <sz val="11"/>
        <color theme="1"/>
        <rFont val="Times New Roman"/>
        <family val="1"/>
      </rPr>
      <t xml:space="preserve"> Floor </t>
    </r>
  </si>
  <si>
    <r>
      <t>9-35</t>
    </r>
    <r>
      <rPr>
        <b/>
        <vertAlign val="superscript"/>
        <sz val="11"/>
        <color theme="1"/>
        <rFont val="Times New Roman"/>
        <family val="1"/>
      </rPr>
      <t>th</t>
    </r>
    <r>
      <rPr>
        <b/>
        <sz val="11"/>
        <color theme="1"/>
        <rFont val="Times New Roman"/>
        <family val="1"/>
      </rPr>
      <t xml:space="preserve"> Floor</t>
    </r>
  </si>
  <si>
    <r>
      <t>36</t>
    </r>
    <r>
      <rPr>
        <b/>
        <vertAlign val="superscript"/>
        <sz val="11"/>
        <color theme="1"/>
        <rFont val="Times New Roman"/>
        <family val="1"/>
      </rPr>
      <t>th</t>
    </r>
    <r>
      <rPr>
        <b/>
        <sz val="11"/>
        <color theme="1"/>
        <rFont val="Times New Roman"/>
        <family val="1"/>
      </rPr>
      <t xml:space="preserve"> Floor</t>
    </r>
  </si>
  <si>
    <r>
      <t>36</t>
    </r>
    <r>
      <rPr>
        <b/>
        <vertAlign val="superscript"/>
        <sz val="11"/>
        <color theme="1"/>
        <rFont val="Times New Roman"/>
        <family val="1"/>
      </rPr>
      <t>th</t>
    </r>
    <r>
      <rPr>
        <b/>
        <sz val="11"/>
        <color theme="1"/>
        <rFont val="Times New Roman"/>
        <family val="1"/>
      </rPr>
      <t xml:space="preserve"> M Floor</t>
    </r>
  </si>
  <si>
    <r>
      <t>37</t>
    </r>
    <r>
      <rPr>
        <b/>
        <vertAlign val="superscript"/>
        <sz val="11"/>
        <color theme="1"/>
        <rFont val="Times New Roman"/>
        <family val="1"/>
      </rPr>
      <t>th</t>
    </r>
    <r>
      <rPr>
        <b/>
        <sz val="11"/>
        <color theme="1"/>
        <rFont val="Times New Roman"/>
        <family val="1"/>
      </rPr>
      <t xml:space="preserve"> Floor </t>
    </r>
  </si>
  <si>
    <r>
      <t>37</t>
    </r>
    <r>
      <rPr>
        <b/>
        <vertAlign val="superscript"/>
        <sz val="11"/>
        <color theme="1"/>
        <rFont val="Times New Roman"/>
        <family val="1"/>
      </rPr>
      <t>th</t>
    </r>
    <r>
      <rPr>
        <b/>
        <sz val="11"/>
        <color theme="1"/>
        <rFont val="Times New Roman"/>
        <family val="1"/>
      </rPr>
      <t xml:space="preserve"> M Floor </t>
    </r>
  </si>
  <si>
    <t xml:space="preserve">MEP SYSTEM </t>
  </si>
  <si>
    <r>
      <t>2</t>
    </r>
    <r>
      <rPr>
        <b/>
        <vertAlign val="superscript"/>
        <sz val="12"/>
        <color theme="1"/>
        <rFont val="Times New Roman"/>
        <family val="1"/>
      </rPr>
      <t>nd</t>
    </r>
    <r>
      <rPr>
        <b/>
        <sz val="12"/>
        <color theme="1"/>
        <rFont val="Times New Roman"/>
        <family val="1"/>
      </rPr>
      <t xml:space="preserve"> Floor </t>
    </r>
  </si>
  <si>
    <r>
      <t>3</t>
    </r>
    <r>
      <rPr>
        <b/>
        <vertAlign val="superscript"/>
        <sz val="12"/>
        <color theme="1"/>
        <rFont val="Times New Roman"/>
        <family val="1"/>
      </rPr>
      <t xml:space="preserve">rd </t>
    </r>
    <r>
      <rPr>
        <b/>
        <sz val="12"/>
        <color theme="1"/>
        <rFont val="Times New Roman"/>
        <family val="1"/>
      </rPr>
      <t xml:space="preserve">Floor </t>
    </r>
  </si>
  <si>
    <t>LASTEST APPROVAL STATUS</t>
  </si>
  <si>
    <t xml:space="preserve">Shop drawing of CCTV system layout BF </t>
  </si>
  <si>
    <t>DT-MEP-105</t>
  </si>
  <si>
    <t>DT-MEP-104</t>
  </si>
  <si>
    <t>MEP-103</t>
  </si>
  <si>
    <t>MEP-102</t>
  </si>
  <si>
    <t>MEP-118</t>
  </si>
  <si>
    <t>MEP-119</t>
  </si>
  <si>
    <t>MEP-121</t>
  </si>
  <si>
    <t>MEP-120</t>
  </si>
  <si>
    <t>MEP-129</t>
  </si>
  <si>
    <t>MEP-128</t>
  </si>
  <si>
    <t>MEP-125</t>
  </si>
  <si>
    <t>MEP-126</t>
  </si>
  <si>
    <t>MEP-130</t>
  </si>
  <si>
    <t>MEP-123</t>
  </si>
  <si>
    <t>MEP-127</t>
  </si>
  <si>
    <t>: Under Review</t>
  </si>
  <si>
    <t>SUBMISSION DATE</t>
  </si>
  <si>
    <t>MEP-052</t>
  </si>
  <si>
    <t>MEP-134</t>
  </si>
  <si>
    <t>MEP-140</t>
  </si>
  <si>
    <t>MEP-139</t>
  </si>
  <si>
    <t>MEP-149</t>
  </si>
  <si>
    <t>MEP-148</t>
  </si>
  <si>
    <t>MEP-147</t>
  </si>
  <si>
    <t>MEP-146</t>
  </si>
  <si>
    <t>MEP-143</t>
  </si>
  <si>
    <t>MEP-145</t>
  </si>
  <si>
    <t>MEP-169</t>
  </si>
  <si>
    <t>MEP-167</t>
  </si>
  <si>
    <t>MEP-168</t>
  </si>
  <si>
    <t>MEP-144</t>
  </si>
  <si>
    <t>MEP-174</t>
  </si>
  <si>
    <t>MEP-175</t>
  </si>
  <si>
    <t>MEP-165</t>
  </si>
  <si>
    <t>MEP-164</t>
  </si>
  <si>
    <t>MEP-163</t>
  </si>
  <si>
    <t>MEP-162</t>
  </si>
  <si>
    <t>MEP-161</t>
  </si>
  <si>
    <t>MEP-159</t>
  </si>
  <si>
    <t>MEP-171</t>
  </si>
  <si>
    <t>MEP-172</t>
  </si>
  <si>
    <t>MEP-173</t>
  </si>
  <si>
    <t>MEP-166</t>
  </si>
  <si>
    <t>MEP-142</t>
  </si>
  <si>
    <t>Infor.</t>
  </si>
  <si>
    <t>: For information</t>
  </si>
  <si>
    <t>III</t>
  </si>
  <si>
    <t>Ebara</t>
  </si>
  <si>
    <t>Material: Wiring device</t>
  </si>
  <si>
    <t xml:space="preserve">Material: Wiring device </t>
  </si>
  <si>
    <t>Material: HDPE pipe and fitting</t>
  </si>
  <si>
    <t>BRAND/COMPANY</t>
  </si>
  <si>
    <t>SCG</t>
  </si>
  <si>
    <t>Shop drawing of Lighting system at BF</t>
  </si>
  <si>
    <t xml:space="preserve">Shop drawing of Socket system at BF </t>
  </si>
  <si>
    <t xml:space="preserve">Shop drawing of Fire Alarm system at BF </t>
  </si>
  <si>
    <t>Shop drawing of Access Control system at BF</t>
  </si>
  <si>
    <t xml:space="preserve">Shop drawing of Cable Tray system at BF </t>
  </si>
  <si>
    <t>Shop drawing of Public Address system at BF</t>
  </si>
  <si>
    <t>Shop drawing of MVAC system at BF</t>
  </si>
  <si>
    <t>Shop drawing of Electrical for MVAC system at BF</t>
  </si>
  <si>
    <t xml:space="preserve">Shop drawing of Socket system at GF </t>
  </si>
  <si>
    <t xml:space="preserve">Shop drawing of the Lighting system at GF </t>
  </si>
  <si>
    <t xml:space="preserve">Shop drawing of Fire Alarm system at GF </t>
  </si>
  <si>
    <t>Shop drawing of Acces Control system at GF</t>
  </si>
  <si>
    <t xml:space="preserve">Shop drawing of DB-single line diagram at GF </t>
  </si>
  <si>
    <t>Shop drawing of CCTV system at GF</t>
  </si>
  <si>
    <t xml:space="preserve">Shop drawing of Public Address system at GF </t>
  </si>
  <si>
    <t xml:space="preserve">Shop drawing of Electrical for MVAC system at GF </t>
  </si>
  <si>
    <t xml:space="preserve">Shop drawing of External Lighting system at 2F </t>
  </si>
  <si>
    <t>Shop drawing of Internal Lighting system at 2F</t>
  </si>
  <si>
    <t>Shop drawing of CCTV system at 2F</t>
  </si>
  <si>
    <t>Shop drawing of Acces Control system at 2F</t>
  </si>
  <si>
    <t>Shop drawing of Public Address system at 2F</t>
  </si>
  <si>
    <t>Shop drawing of Fire Alarm system at 2F</t>
  </si>
  <si>
    <t>Shop drawing of Socket system at 2F</t>
  </si>
  <si>
    <t xml:space="preserve">Shop drawing of Cold Water Supply system at 2F </t>
  </si>
  <si>
    <t xml:space="preserve">Shop drawing of Waste Water Drainage system at 2F </t>
  </si>
  <si>
    <t xml:space="preserve">Shop drawing of Fire Fighting system at 2F </t>
  </si>
  <si>
    <t>Shop drawing of Acces Control system at 3F</t>
  </si>
  <si>
    <t>Shop drawing of Public Address system at 3F</t>
  </si>
  <si>
    <t>Shop drawing of Fire Alarm system at 3F</t>
  </si>
  <si>
    <t>Shop drawing of CCTV system at 3F</t>
  </si>
  <si>
    <t>Shop drawing of Socket system at 3F</t>
  </si>
  <si>
    <t>Shop drawing of Internal Lighting system at 3F</t>
  </si>
  <si>
    <t>Shop drawing of External system at 3F</t>
  </si>
  <si>
    <t>MEP-185</t>
  </si>
  <si>
    <t>MEP-183</t>
  </si>
  <si>
    <t>MEP-189</t>
  </si>
  <si>
    <t>MEP-187</t>
  </si>
  <si>
    <t>MEP-186</t>
  </si>
  <si>
    <t>MEP-184</t>
  </si>
  <si>
    <t>MEP-188</t>
  </si>
  <si>
    <t>Rev.D</t>
  </si>
  <si>
    <t>Rev.E</t>
  </si>
  <si>
    <t>SUBJECT</t>
  </si>
  <si>
    <t>MAIN-CON</t>
  </si>
  <si>
    <t>PROGRESS</t>
  </si>
  <si>
    <t>LOCATION</t>
  </si>
  <si>
    <t>CLIENT</t>
  </si>
  <si>
    <t>PROJECT</t>
  </si>
  <si>
    <t>: THE VIEW II</t>
  </si>
  <si>
    <t>: SOMA CONSTRUTION &amp; DEVELOPMENT CO., LTD</t>
  </si>
  <si>
    <t>: HOHSIN DEVELOPMENT CO., LTD</t>
  </si>
  <si>
    <t>:#13, ST. 588 CORNER ST.307, PHUM 11, BOEUNG KAK 2, KHAN TOUL KOK, PHNOM PENH</t>
  </si>
  <si>
    <t>MAR OF LV SYSTEM</t>
  </si>
  <si>
    <t>MAR OF ELV SYSTEM</t>
  </si>
  <si>
    <t xml:space="preserve">CCTV SYSTEM </t>
  </si>
  <si>
    <t xml:space="preserve">FIRE ALARM SYSTEM </t>
  </si>
  <si>
    <t xml:space="preserve">PUBLIC ADDRESS SYSTEM </t>
  </si>
  <si>
    <t>IV</t>
  </si>
  <si>
    <t>ACCESS CONTROL SYSTEM</t>
  </si>
  <si>
    <t xml:space="preserve">MAR OF ELECTRICAL SYSTEM </t>
  </si>
  <si>
    <t xml:space="preserve">MAR OF PLUMBING SYSTEM </t>
  </si>
  <si>
    <t>A.1</t>
  </si>
  <si>
    <t>A.2</t>
  </si>
  <si>
    <t xml:space="preserve">MAR OF MVAC SYSTEM </t>
  </si>
  <si>
    <t>MATERIAL  DESCRIPTION</t>
  </si>
  <si>
    <t>MEP SAMPLE BOARD</t>
  </si>
  <si>
    <t>Material Low Voltage cable</t>
  </si>
  <si>
    <t>Keystone</t>
  </si>
  <si>
    <t xml:space="preserve">Material of Fire resistant cable for fire alarm cable </t>
  </si>
  <si>
    <t xml:space="preserve">Material Low Voltage cable </t>
  </si>
  <si>
    <t xml:space="preserve">: MATERIAL MEP MONITORING </t>
  </si>
  <si>
    <t xml:space="preserve">Material Of Septic Tank </t>
  </si>
  <si>
    <t>Material Supmersible Pump</t>
  </si>
  <si>
    <t>Material Transfer Pump</t>
  </si>
  <si>
    <t xml:space="preserve">Material of superswell 47B </t>
  </si>
  <si>
    <t>Tai Sin</t>
  </si>
  <si>
    <t>REQUEST FOR INFORMATION (RFI)</t>
  </si>
  <si>
    <t>NON-CONFORMANCE REPORT (NCR)</t>
  </si>
  <si>
    <t>DESCRIPTION</t>
  </si>
  <si>
    <t>FROM HS TO SMCD</t>
  </si>
  <si>
    <t>SMCD TO HS</t>
  </si>
  <si>
    <t xml:space="preserve">: RFI, NCR MEP MONITORING </t>
  </si>
  <si>
    <t xml:space="preserve">: REQUEST FOR INSPECTION OF MEP MONITORING </t>
  </si>
  <si>
    <t>REQUEST FOR INSPECTION (RI)</t>
  </si>
  <si>
    <t>SUBMITTED 
DATE</t>
  </si>
  <si>
    <t>SMCD INTERNAL WORK (MEP-AA)</t>
  </si>
  <si>
    <t>: SMCD INTERNAL WORK (MEP-AA)</t>
  </si>
  <si>
    <t>FROM MEP TO AA</t>
  </si>
  <si>
    <t>FROM AA TO MEP</t>
  </si>
  <si>
    <t xml:space="preserve">Shop drawing of Combine Embedded uPVC Conduit system at BF </t>
  </si>
  <si>
    <t>: #13, ST. 588 CORNER ST.307, PHUM 11, BOEUNG KAK 2, KHAN TOUL KOK, PHNOM PENH</t>
  </si>
  <si>
    <t xml:space="preserve">Public Address Cable </t>
  </si>
  <si>
    <t>MEP-193</t>
  </si>
  <si>
    <t>Material: Electric water storage heater</t>
  </si>
  <si>
    <t>MEP-203</t>
  </si>
  <si>
    <t>MEP-205</t>
  </si>
  <si>
    <t>Network Cable (Cat6 23 AWG)</t>
  </si>
  <si>
    <t>MEP-196</t>
  </si>
  <si>
    <t>Material of cat 6 cable 23AWG</t>
  </si>
  <si>
    <t>Material:Sub-distribution board</t>
  </si>
  <si>
    <t>Scheider</t>
  </si>
  <si>
    <t>KHMER ENGINEER</t>
  </si>
  <si>
    <t>MEP-179</t>
  </si>
  <si>
    <t>DATA SYSTEM</t>
  </si>
  <si>
    <t>V</t>
  </si>
  <si>
    <t>Norden</t>
  </si>
  <si>
    <t>Nexans</t>
  </si>
  <si>
    <t>Rinnai</t>
  </si>
  <si>
    <t>Superlon</t>
  </si>
  <si>
    <t>MEP-214</t>
  </si>
  <si>
    <t>Hailiang</t>
  </si>
  <si>
    <t>MEP-213</t>
  </si>
  <si>
    <t>Legrand</t>
  </si>
  <si>
    <t>CHINT</t>
  </si>
  <si>
    <t>Kumwell</t>
  </si>
  <si>
    <t>MP</t>
  </si>
  <si>
    <t>MEP-221</t>
  </si>
  <si>
    <t>MEP-215</t>
  </si>
  <si>
    <t>MEP-216</t>
  </si>
  <si>
    <t>MEP-217</t>
  </si>
  <si>
    <t>MEP-219</t>
  </si>
  <si>
    <t>MEP-220</t>
  </si>
  <si>
    <t>MEP-218</t>
  </si>
  <si>
    <t>MEP-209</t>
  </si>
  <si>
    <t>MEP-208</t>
  </si>
  <si>
    <t>MEP-210</t>
  </si>
  <si>
    <t>MEP-206</t>
  </si>
  <si>
    <t>MEP-207</t>
  </si>
  <si>
    <t>Material of Insulation Tube Thk 13mm</t>
  </si>
  <si>
    <t>Material of Copper pipe</t>
  </si>
  <si>
    <t>Material: Perforated Cable tray Thk 1.2mm</t>
  </si>
  <si>
    <t xml:space="preserve">Material Lightning </t>
  </si>
  <si>
    <t xml:space="preserve">SCG </t>
  </si>
  <si>
    <t>Polygon</t>
  </si>
  <si>
    <t>TAP</t>
  </si>
  <si>
    <t>Septic Tank</t>
  </si>
  <si>
    <t>Biotech</t>
  </si>
  <si>
    <t>Shop drawing of Cold &amp; Hot water supply system layout</t>
  </si>
  <si>
    <t>Shop drawing of Fire Fighting system</t>
  </si>
  <si>
    <t>Shop drawing of Cold &amp; Hot water supply system</t>
  </si>
  <si>
    <r>
      <t>7</t>
    </r>
    <r>
      <rPr>
        <b/>
        <vertAlign val="superscript"/>
        <sz val="11"/>
        <color theme="1"/>
        <rFont val="Times New Roman"/>
        <family val="1"/>
      </rPr>
      <t>th</t>
    </r>
    <r>
      <rPr>
        <b/>
        <sz val="11"/>
        <color theme="1"/>
        <rFont val="Times New Roman"/>
        <family val="1"/>
      </rPr>
      <t xml:space="preserve"> Floor </t>
    </r>
  </si>
  <si>
    <t>Shop drawing of Cold &amp; Hot water supply system 6MF</t>
  </si>
  <si>
    <t>Shop drawing of Fire Fighting system layout 6MF</t>
  </si>
  <si>
    <t>VI</t>
  </si>
  <si>
    <t>MATV SYSTEM</t>
  </si>
  <si>
    <t>Material of Coaxial cable (RG-6 &amp; RG-11)</t>
  </si>
  <si>
    <t>Interlink</t>
  </si>
  <si>
    <t>MEP-240</t>
  </si>
  <si>
    <t>MEP-239</t>
  </si>
  <si>
    <t>VII</t>
  </si>
  <si>
    <t>TELEPHONE SYSTEM</t>
  </si>
  <si>
    <t>Material of Cat 3 UTP 2 pair</t>
  </si>
  <si>
    <t>Alantek</t>
  </si>
  <si>
    <t>Material of Twisted pairs shield 2x18 AWG</t>
  </si>
  <si>
    <t>MEP-241</t>
  </si>
  <si>
    <t>Shop drawing of Combined Embedded uPVC Conduit</t>
  </si>
  <si>
    <t>Shop drawing of Internal Lighting system</t>
  </si>
  <si>
    <t>Shop drawing of Fire Fighting system layout</t>
  </si>
  <si>
    <t>Shop drawing of Access Control system</t>
  </si>
  <si>
    <t>Shop drawing of Public Address system</t>
  </si>
  <si>
    <t>Shop drawing of Fire Alarm system</t>
  </si>
  <si>
    <t>Shop drawing of CCTV system</t>
  </si>
  <si>
    <t>Shop drawing of Socket system</t>
  </si>
  <si>
    <t>Shop drawing of Cold water system layout</t>
  </si>
  <si>
    <t>Shop drawing of Waste water system layout</t>
  </si>
  <si>
    <t>MEP-225</t>
  </si>
  <si>
    <t>MEP-226</t>
  </si>
  <si>
    <t>MEP-227</t>
  </si>
  <si>
    <t>MEP-228</t>
  </si>
  <si>
    <t>MEP-229</t>
  </si>
  <si>
    <t xml:space="preserve">Shop drawing of Cold &amp; Hot water supply system </t>
  </si>
  <si>
    <t>MEP-231</t>
  </si>
  <si>
    <t>MEP-232</t>
  </si>
  <si>
    <t>MEP-233</t>
  </si>
  <si>
    <t>MEP-234</t>
  </si>
  <si>
    <t>MEP-235</t>
  </si>
  <si>
    <t>MEP-236</t>
  </si>
  <si>
    <r>
      <t>7</t>
    </r>
    <r>
      <rPr>
        <b/>
        <vertAlign val="superscript"/>
        <sz val="11"/>
        <color theme="1"/>
        <rFont val="Times New Roman"/>
        <family val="1"/>
      </rPr>
      <t xml:space="preserve">th </t>
    </r>
    <r>
      <rPr>
        <b/>
        <sz val="11"/>
        <color theme="1"/>
        <rFont val="Times New Roman"/>
        <family val="1"/>
      </rPr>
      <t xml:space="preserve">MF  Floor </t>
    </r>
  </si>
  <si>
    <r>
      <t>6</t>
    </r>
    <r>
      <rPr>
        <b/>
        <vertAlign val="superscript"/>
        <sz val="11"/>
        <color theme="1"/>
        <rFont val="Times New Roman"/>
        <family val="1"/>
      </rPr>
      <t>th</t>
    </r>
    <r>
      <rPr>
        <b/>
        <sz val="11"/>
        <color theme="1"/>
        <rFont val="Times New Roman"/>
        <family val="1"/>
      </rPr>
      <t>MF Floor</t>
    </r>
  </si>
  <si>
    <r>
      <t>6</t>
    </r>
    <r>
      <rPr>
        <b/>
        <vertAlign val="superscript"/>
        <sz val="11"/>
        <color theme="1"/>
        <rFont val="Times New Roman"/>
        <family val="1"/>
      </rPr>
      <t>th</t>
    </r>
    <r>
      <rPr>
        <b/>
        <sz val="11"/>
        <color theme="1"/>
        <rFont val="Times New Roman"/>
        <family val="1"/>
      </rPr>
      <t xml:space="preserve"> Floor</t>
    </r>
  </si>
  <si>
    <t>Shop drawing of Internal lighting system</t>
  </si>
  <si>
    <t xml:space="preserve">Shop drawing of CCTV system </t>
  </si>
  <si>
    <t xml:space="preserve">Shop drawing of Fire Alarm system </t>
  </si>
  <si>
    <t xml:space="preserve">Shop drawing of Public Address system </t>
  </si>
  <si>
    <t xml:space="preserve">Shop drawing of Access Control system </t>
  </si>
  <si>
    <t>Combined Embedded uPVC Conduit in slab</t>
  </si>
  <si>
    <t>Planec</t>
  </si>
  <si>
    <t>Request for using temporary tank ( Fire Fighting) Rev.C</t>
  </si>
  <si>
    <t>MEP-176</t>
  </si>
  <si>
    <t>Material of Fire Alarm system</t>
  </si>
  <si>
    <t>Nohmi</t>
  </si>
  <si>
    <t>MEP-246</t>
  </si>
  <si>
    <t>Shop DRAWING DESCRIPTION</t>
  </si>
  <si>
    <t>Combined embedded upvc conduit in slab 8F for LV &amp; ELV system</t>
  </si>
  <si>
    <t>Shop drawing of electrical for MVAC system</t>
  </si>
  <si>
    <t>Combined embedded upvc conduit in slab 6MF for LV &amp; ELV system layout</t>
  </si>
  <si>
    <t>G</t>
  </si>
  <si>
    <t>H</t>
  </si>
  <si>
    <t xml:space="preserve">Shop drawing of Socket system </t>
  </si>
  <si>
    <t xml:space="preserve">Shop drawing of Lighting system </t>
  </si>
  <si>
    <t>: MEP SHOP DRAWING MONITORING</t>
  </si>
  <si>
    <t>Material Approval of CCTV system</t>
  </si>
  <si>
    <t>MEP-272</t>
  </si>
  <si>
    <t>MEP-274</t>
  </si>
  <si>
    <t>Access Control system</t>
  </si>
  <si>
    <t>OBT</t>
  </si>
  <si>
    <t>MEP-273</t>
  </si>
  <si>
    <t>Letter Material approval LV cable</t>
  </si>
  <si>
    <t>Public Address system</t>
  </si>
  <si>
    <t>Material: Lighting Fixture</t>
  </si>
  <si>
    <t>MEP-279</t>
  </si>
  <si>
    <t>Material: Sub distribution board (Inside Unit)</t>
  </si>
  <si>
    <t>Mekong automation</t>
  </si>
  <si>
    <t>MEP-280</t>
  </si>
  <si>
    <t>MEP-286</t>
  </si>
  <si>
    <t>Shop Drawing of Waste Water Drainage system layout 9F-33F</t>
  </si>
  <si>
    <t>MEP-285</t>
  </si>
  <si>
    <t>MEP-284</t>
  </si>
  <si>
    <t>Shop Drawing of Fire Fighting system layout 8F-35F</t>
  </si>
  <si>
    <t>MEP-283</t>
  </si>
  <si>
    <t>Shop Drawing of Pipe Sleeve layout on slab layout 9F-35F</t>
  </si>
  <si>
    <t>MEP-282</t>
  </si>
  <si>
    <t>Request for Changing Part Number of Fire-Resistant Cable</t>
  </si>
  <si>
    <t>MEP-287</t>
  </si>
  <si>
    <t>Shop Drawing of Combined Embedded uPVC conduit in slab 9F for LV &amp; ELV system</t>
  </si>
  <si>
    <t xml:space="preserve">Shop Drawing of CCTV system </t>
  </si>
  <si>
    <t>Shop Drawing of Fire Alarm system</t>
  </si>
  <si>
    <t>Shop Drawing of Public Address system</t>
  </si>
  <si>
    <t>Shop Drawing of Access Control system</t>
  </si>
  <si>
    <t>Shop Drawing of Waste Water Drainage system</t>
  </si>
  <si>
    <t xml:space="preserve">Material submittal of Air Conditioner </t>
  </si>
  <si>
    <t>Panasonic</t>
  </si>
  <si>
    <t>MEP-296</t>
  </si>
  <si>
    <t>Kruger</t>
  </si>
  <si>
    <t>Ventialtion system</t>
  </si>
  <si>
    <t>MEP-317</t>
  </si>
  <si>
    <t>Fire Sprinkler Head</t>
  </si>
  <si>
    <t>TEM</t>
  </si>
  <si>
    <t>MEP-322</t>
  </si>
  <si>
    <t>OBT,AWS</t>
  </si>
  <si>
    <t>MEP-351</t>
  </si>
  <si>
    <t>MEP-352</t>
  </si>
  <si>
    <t>MEP-353</t>
  </si>
  <si>
    <t>MEP-354</t>
  </si>
  <si>
    <t>RETURNED 
DATE</t>
  </si>
  <si>
    <t>MEP-359</t>
  </si>
  <si>
    <t>MEP-360</t>
  </si>
  <si>
    <t>MEP-361</t>
  </si>
  <si>
    <t>MEP-369</t>
  </si>
  <si>
    <t>MEP-363</t>
  </si>
  <si>
    <t>MEP-364</t>
  </si>
  <si>
    <t>MEP-365</t>
  </si>
  <si>
    <t>MEP-366</t>
  </si>
  <si>
    <t>MEP-367</t>
  </si>
  <si>
    <t>MEP-368</t>
  </si>
  <si>
    <t>MEP-387</t>
  </si>
  <si>
    <t>MEP-388</t>
  </si>
  <si>
    <t>MEP-389</t>
  </si>
  <si>
    <t>MEP-390</t>
  </si>
  <si>
    <t>MEP-391</t>
  </si>
  <si>
    <t>MEP-392</t>
  </si>
  <si>
    <t>MEP-393</t>
  </si>
  <si>
    <t>Change supplier OBT to AWS by first submit Rev.A (Sub: 4-March Return: 14- March)(Supplier OBT)</t>
  </si>
  <si>
    <t>MEP-405</t>
  </si>
  <si>
    <t>Shop Drawing of Combined Embedded uPVC conduit for LV &amp; ELV system</t>
  </si>
  <si>
    <t>Shop Drawing of electrical for MVAC system</t>
  </si>
  <si>
    <t>MEP-406</t>
  </si>
  <si>
    <t>MEP-407</t>
  </si>
  <si>
    <t>MEP-408</t>
  </si>
  <si>
    <t>MEP-409</t>
  </si>
  <si>
    <t>MEP-410</t>
  </si>
  <si>
    <t>MEP-411</t>
  </si>
  <si>
    <t>MEP-412</t>
  </si>
  <si>
    <t>MEP-414</t>
  </si>
  <si>
    <t>MEP-415</t>
  </si>
  <si>
    <t>MEP-416</t>
  </si>
  <si>
    <t>MEP-417</t>
  </si>
  <si>
    <t>Shop Drawing of Cold &amp; Hot water supply system layout 8F-35F</t>
  </si>
  <si>
    <t xml:space="preserve">Shop drawing of Cold Water supply system at GF </t>
  </si>
  <si>
    <t xml:space="preserve">Shop drawing of Waste water Drainage system layout 3F </t>
  </si>
  <si>
    <t>Shop drawing of Water water Drainage system 6MF</t>
  </si>
  <si>
    <t>Shop drawing of Combined sleeve and opening on GF slab BF</t>
  </si>
  <si>
    <t>Shop drawing of Combined service MEP-system at BF</t>
  </si>
  <si>
    <t xml:space="preserve">Shop drawing of Combined embedded Upvc Conduit at floor  </t>
  </si>
  <si>
    <t xml:space="preserve">Shop drawing of Cold water supply system layout 3F </t>
  </si>
  <si>
    <t xml:space="preserve">Shop drawing of StormWater Drainage system at GF </t>
  </si>
  <si>
    <t xml:space="preserve">Shop drawing of Stormwater Drainage system layout 3F </t>
  </si>
  <si>
    <t>Shop drawing of Stormwater Drainage system layout</t>
  </si>
  <si>
    <t>Shop drawing of Pipe Sleeve layout under BF</t>
  </si>
  <si>
    <t xml:space="preserve">Shop drawing of Pipe Sleeve on slab at BF </t>
  </si>
  <si>
    <t xml:space="preserve">Shop drawing of Combine service drawing and Pipe Sleeve at GF </t>
  </si>
  <si>
    <t xml:space="preserve">Shop drawing of Pipe Sleeve on slab </t>
  </si>
  <si>
    <t>Shop drawing of Pipe Sleeve in wall 3F and Pipe Sleeve on slab 5F</t>
  </si>
  <si>
    <t>Shop drawing of Pipe Sleeve on slab layout</t>
  </si>
  <si>
    <t>Shop drawing of Pipe Sleeve on slab layout 6MF</t>
  </si>
  <si>
    <t xml:space="preserve">Shop drawing of Pipe Sleeve on slab layout </t>
  </si>
  <si>
    <t xml:space="preserve">Shop drawing of Plumbing for Fire Fighting system layout BF </t>
  </si>
  <si>
    <t xml:space="preserve">Shop drawing Plumbing for Pipe Sleeve and Combine drawing layout under BF </t>
  </si>
  <si>
    <t xml:space="preserve">Shop drawing of Plumbing for Stormwater Drainage system layout Under BF </t>
  </si>
  <si>
    <t xml:space="preserve">Shop drawing of Plumbing for Waste water Drainage system layout BF </t>
  </si>
  <si>
    <t xml:space="preserve">Shop drawing of Plumbing Cold water supply system layout at Under BF </t>
  </si>
  <si>
    <t xml:space="preserve">Shop drawing of Plumbing Cold water supply system layout at BF </t>
  </si>
  <si>
    <t xml:space="preserve">Shop drawing of Plumbing at under BF </t>
  </si>
  <si>
    <t xml:space="preserve">Shop drawing of Fire Fighting system and Combine service drawing layout BF </t>
  </si>
  <si>
    <t xml:space="preserve">Shop drawing of Fire Fighting system layout under BF </t>
  </si>
  <si>
    <t xml:space="preserve">Shop drawing of Fire Fighting system at 3F </t>
  </si>
  <si>
    <t xml:space="preserve">Shop drawing Plumbing for Pipe Sleeve and Combine drawing layout BF </t>
  </si>
  <si>
    <t>KH TECH Co., Ltd</t>
  </si>
  <si>
    <t>MEP-371</t>
  </si>
  <si>
    <t>Shop Drawing of Air Conditioning system layout GF</t>
  </si>
  <si>
    <t>MEP-423</t>
  </si>
  <si>
    <t>Shop Drawing of Condensate pipe system layout GF</t>
  </si>
  <si>
    <t>MEP-424</t>
  </si>
  <si>
    <t>Shop Drawing of Condensate pipe system layout 2F</t>
  </si>
  <si>
    <t>Shop Drawing of Air Conditioning system layout 2F</t>
  </si>
  <si>
    <t>MEP-425</t>
  </si>
  <si>
    <t>MEP-426</t>
  </si>
  <si>
    <t>Shop Drawing of Ventilation system layout 5F</t>
  </si>
  <si>
    <t>Shop Drawing of Condensate pipe system layout 5F</t>
  </si>
  <si>
    <t>MEP-427</t>
  </si>
  <si>
    <t>MEP-428</t>
  </si>
  <si>
    <t>Material Floor standing server Rack and PDU</t>
  </si>
  <si>
    <t>Material Data and WiFi system</t>
  </si>
  <si>
    <t>MEP-421</t>
  </si>
  <si>
    <t>Fire Extinguisher (ABC &amp; CO2)</t>
  </si>
  <si>
    <t>MEP-422</t>
  </si>
  <si>
    <t>Shop drawing of Ventilation system layout GF RevA</t>
  </si>
  <si>
    <t>MEP-429</t>
  </si>
  <si>
    <t>Shop drawing of Ventilation system layout 2F RevA</t>
  </si>
  <si>
    <t>MEP-430</t>
  </si>
  <si>
    <t>Shop drawng of Waste Water Drainage system at GF</t>
  </si>
  <si>
    <t xml:space="preserve">Shop drawing of Plumbing for Storm Water system layout BF </t>
  </si>
  <si>
    <t>Fire Hose Reel and Fire Hose Reel Cabinet</t>
  </si>
  <si>
    <t>MEP-432</t>
  </si>
  <si>
    <t>Shop drawing of External lighting system</t>
  </si>
  <si>
    <t>MEP-441</t>
  </si>
  <si>
    <t>MEP-442</t>
  </si>
  <si>
    <t>MEP-443</t>
  </si>
  <si>
    <t>Shop drawing of Socket system at 9F-12F</t>
  </si>
  <si>
    <t>Shop drawing of Internal lighting system at 15F-35F</t>
  </si>
  <si>
    <t>Shop drawing of Socket system at 15F-35F</t>
  </si>
  <si>
    <t>Shop drawing of External lighting system at 15F,20F, 26F&amp;31F</t>
  </si>
  <si>
    <t xml:space="preserve">Shop drawing of Internal lighting system at 9F-12F </t>
  </si>
  <si>
    <t>MEP-445</t>
  </si>
  <si>
    <t>MEP-446</t>
  </si>
  <si>
    <t>MEP-447</t>
  </si>
  <si>
    <t>MEP-444</t>
  </si>
  <si>
    <t>Shop drawing of Fire Fighting system at GF</t>
  </si>
  <si>
    <t>MEP-385</t>
  </si>
  <si>
    <t>MEP-460</t>
  </si>
  <si>
    <t>MEP-461</t>
  </si>
  <si>
    <t>MEP-462</t>
  </si>
  <si>
    <t>MEP-463</t>
  </si>
  <si>
    <t>MEP-477</t>
  </si>
  <si>
    <t>MEP-478</t>
  </si>
  <si>
    <t>MEP-479</t>
  </si>
  <si>
    <t>Shop Drawing of  Air Condensate system layout 8F</t>
  </si>
  <si>
    <t xml:space="preserve">Shop Drawing of  Air Conditioning system layout 8F </t>
  </si>
  <si>
    <t>MEP-481</t>
  </si>
  <si>
    <t>Shop Drawing of  Ventilation system layout 8F</t>
  </si>
  <si>
    <t>MEP-480</t>
  </si>
  <si>
    <t xml:space="preserve">Cold Water Storage Tank </t>
  </si>
  <si>
    <t xml:space="preserve">MAGTECH GENERAL </t>
  </si>
  <si>
    <t>Shop Drawing of Air Conditioning system layout 9F-35F</t>
  </si>
  <si>
    <t>MEP-483</t>
  </si>
  <si>
    <t>MEP-484</t>
  </si>
  <si>
    <t>MEP-485</t>
  </si>
  <si>
    <t>Shop Drawing of  AC Condensate system layout  9F-35F</t>
  </si>
  <si>
    <t>Shop Drawing of  Ventilation system layout 9F-35F</t>
  </si>
  <si>
    <t>Material Fiber optic Cable</t>
  </si>
  <si>
    <t>Nexans brand</t>
  </si>
  <si>
    <t>MEP-501</t>
  </si>
  <si>
    <t>Shop Drawing of Lighting system layout 36F</t>
  </si>
  <si>
    <t>Shop Drawing of Socket Outlet layout 36F</t>
  </si>
  <si>
    <t xml:space="preserve">Shop Drawing of Electrical for MVAC system at 36F </t>
  </si>
  <si>
    <t xml:space="preserve">Shop Drawing of CCTV system at 36F </t>
  </si>
  <si>
    <t>Shop Drawing of Fire Alarm system at 36F</t>
  </si>
  <si>
    <t>Shop Drawing of Public Address system at 36F</t>
  </si>
  <si>
    <t xml:space="preserve">Shop Drawing of Access Control system at 36F </t>
  </si>
  <si>
    <t>Shop Drawing of Combined Embedded uPVC conduit for LV &amp; ELV system at 36F</t>
  </si>
  <si>
    <t>MEP-492</t>
  </si>
  <si>
    <t>MEP-493</t>
  </si>
  <si>
    <t>MEP-494</t>
  </si>
  <si>
    <t>MEP-495</t>
  </si>
  <si>
    <t>MEP-496</t>
  </si>
  <si>
    <t xml:space="preserve">Shop Drawing of Combined Embedded uPVC conduit for LV &amp; ELV system at 36MF </t>
  </si>
  <si>
    <t>Shop Drawing of Lighting system layout 36MF</t>
  </si>
  <si>
    <t xml:space="preserve">Shop Drawing of Socket Outlet layout 36MF </t>
  </si>
  <si>
    <t xml:space="preserve">Shop Drawing of Electrical for MVAC system at 36MF </t>
  </si>
  <si>
    <t>Shop Drawing of Fire Alarm system at 36MF</t>
  </si>
  <si>
    <t>MEP-497</t>
  </si>
  <si>
    <t>MEP-498</t>
  </si>
  <si>
    <t>MEP-486</t>
  </si>
  <si>
    <t>MEP-482</t>
  </si>
  <si>
    <t xml:space="preserve">Shop drawing of AC Condensate system layout 3F </t>
  </si>
  <si>
    <t>MEP-488</t>
  </si>
  <si>
    <t>MEP-489</t>
  </si>
  <si>
    <t>Shop drawing of Waste Water Drainage system layout 36MF</t>
  </si>
  <si>
    <t>Shop drawing of Waste water drainage system 36F install under 36F layout 35F</t>
  </si>
  <si>
    <t>Shop drawing of Air conditioning system layout 6F &amp; 6MF</t>
  </si>
  <si>
    <t>Shop drawing of AC Condensate system layout 6F &amp; 6MF</t>
  </si>
  <si>
    <t>Shop drawing of Ventilation system layout 6F &amp; 6MF</t>
  </si>
  <si>
    <t>Shop drawing of Air conditioning system layout 7F&amp;7MF</t>
  </si>
  <si>
    <t>Shop drawing of AC Condensate system layout 7F&amp;7MF</t>
  </si>
  <si>
    <t>Shop drawing of Ventilation system layout 7F&amp;7MF</t>
  </si>
  <si>
    <t>MEP-504</t>
  </si>
  <si>
    <t>MEP-510</t>
  </si>
  <si>
    <t>MEP-511</t>
  </si>
  <si>
    <t>MEP-505</t>
  </si>
  <si>
    <t>Shop Drawing of Air Conditioning system layout 36F</t>
  </si>
  <si>
    <t>Shop Drawing of  Ventilation system layout 36F</t>
  </si>
  <si>
    <t>Shop Drawing of  AC Condensate system layout  36F</t>
  </si>
  <si>
    <t>MEP-507</t>
  </si>
  <si>
    <t>MEP-508</t>
  </si>
  <si>
    <t>MEP-509</t>
  </si>
  <si>
    <t>Shop Drawing of Air Conditioning system layout 36MF</t>
  </si>
  <si>
    <t>Shop Drawing of  Ventilation system layout 36MF</t>
  </si>
  <si>
    <t>Shop Drawing of  AC Condensate system layout  36MF</t>
  </si>
  <si>
    <t>Shop Drawing of Waste Water Drainage system
 37F install under slab 37F layout 36MF</t>
  </si>
  <si>
    <t>MEP-529</t>
  </si>
  <si>
    <t>Shop Drawing of Storm water drainage system layout 36MF</t>
  </si>
  <si>
    <t>MEP-530</t>
  </si>
  <si>
    <t>Shop Drawing of Storm water drainage system
layout 37F</t>
  </si>
  <si>
    <t>MEP-531</t>
  </si>
  <si>
    <t>MEP-533</t>
  </si>
  <si>
    <t>Shop Drawing of Fire Fighting system layout 
36MF</t>
  </si>
  <si>
    <t>MEP-534</t>
  </si>
  <si>
    <t>MEP-535</t>
  </si>
  <si>
    <t>Shop Drawing of the Air Conditioning System Layout 37F</t>
  </si>
  <si>
    <t>MEP-519</t>
  </si>
  <si>
    <t>Shop Drawing of the Ventilation System Layout
37F</t>
  </si>
  <si>
    <t>MEP-520</t>
  </si>
  <si>
    <t>Shop Drawing of the AC Condensate System
Layout 37F</t>
  </si>
  <si>
    <t>MEP-521</t>
  </si>
  <si>
    <t xml:space="preserve">Shop Drawing of Combined Embedded uPVC conduit for LV &amp; ELV system at 37F </t>
  </si>
  <si>
    <t xml:space="preserve">Shop Drawing of Socket Outlet layout 37F </t>
  </si>
  <si>
    <t xml:space="preserve">Shop Drawing of Electrical for MVAC system at 37F </t>
  </si>
  <si>
    <t>MEP-522</t>
  </si>
  <si>
    <t xml:space="preserve">Shop Drawing of Internal &amp; External Lighting system layout 37F </t>
  </si>
  <si>
    <t>MEP-523</t>
  </si>
  <si>
    <t>MEP-524</t>
  </si>
  <si>
    <t>MEP-525</t>
  </si>
  <si>
    <t>MEP-526</t>
  </si>
  <si>
    <t xml:space="preserve">Shop Drawing of Access Control system at 37F </t>
  </si>
  <si>
    <t xml:space="preserve">Shop Drawing of Public Address system at 37F </t>
  </si>
  <si>
    <t xml:space="preserve">Shop Drawing of CCTV system at 37F </t>
  </si>
  <si>
    <t>MEP-527</t>
  </si>
  <si>
    <t>MEP-528</t>
  </si>
  <si>
    <t>Shop Drawing of Fire Fighting system layout 
36F</t>
  </si>
  <si>
    <t xml:space="preserve">Shop Drawing of Combined Embedded uPVC conduit for LV &amp; ELV system at 37MF </t>
  </si>
  <si>
    <t>Shop Drawing of Socket Outlet layout 37MF</t>
  </si>
  <si>
    <t>Shop Drawing of CCTV system at 37MF</t>
  </si>
  <si>
    <t>Shop Drawing of Fire Alarm system at 37MF</t>
  </si>
  <si>
    <t>MEP-536</t>
  </si>
  <si>
    <t>MEP-537</t>
  </si>
  <si>
    <t>MEP-538</t>
  </si>
  <si>
    <t>MEP-539</t>
  </si>
  <si>
    <t>MEP-540</t>
  </si>
  <si>
    <t>MEP-541</t>
  </si>
  <si>
    <t xml:space="preserve">Shop Drawing of Internal Lighting system layout 37MF </t>
  </si>
  <si>
    <t xml:space="preserve">Shop Drawing of External Lighting system layout RF </t>
  </si>
  <si>
    <t xml:space="preserve">Shop Drawing of Fire Alarm system at 37F </t>
  </si>
  <si>
    <t>MEP-542</t>
  </si>
  <si>
    <t>Shop Drawing of Access Control system at 37MF</t>
  </si>
  <si>
    <t>MEP-543</t>
  </si>
  <si>
    <t>MEP-544</t>
  </si>
  <si>
    <t>MEP-545</t>
  </si>
  <si>
    <t>Shop Drawing of Cold &amp; Hot Water Supply
system layout 36MF</t>
  </si>
  <si>
    <t>Shop Drawing of Cold &amp; Hot Water Supply
system layout 37MF</t>
  </si>
  <si>
    <t>MEP-546</t>
  </si>
  <si>
    <t>Shop Drawing of Cold &amp; Hot Water Supply
system layout 37F</t>
  </si>
  <si>
    <t>MEP-547</t>
  </si>
  <si>
    <t>Shop Drawing of Cold &amp; Hot Water Supply 
system layout 36F</t>
  </si>
  <si>
    <t>MEP-512</t>
  </si>
  <si>
    <t>MEP-513</t>
  </si>
  <si>
    <t>Shop Drawing of Cold &amp; Hot Water Supply 
system layout 36MF</t>
  </si>
  <si>
    <t>Shop Drawing of Fire Fighting system layout 
37F</t>
  </si>
  <si>
    <t>Shop Drawing of Pipe sleeve layout 36F Rev.A</t>
  </si>
  <si>
    <t>MEP-555</t>
  </si>
  <si>
    <t>MEP-556</t>
  </si>
  <si>
    <t>Shop Drawing of Pipe sleeve layout 37F Rev.A</t>
  </si>
  <si>
    <t>MEP-557</t>
  </si>
  <si>
    <t>Shop Drawing of Pipe sleeve layout 36MF Rev.A</t>
  </si>
  <si>
    <t>Material Accessories valve</t>
  </si>
  <si>
    <t>MEP-551</t>
  </si>
  <si>
    <t xml:space="preserve">Under Basement Floor </t>
  </si>
  <si>
    <t>Rev.F</t>
  </si>
  <si>
    <t>Rev.G</t>
  </si>
  <si>
    <t>Rev.H</t>
  </si>
  <si>
    <t>:02/28/2025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</si>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</sst>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"/>
    <numFmt numFmtId="165" formatCode="[$-409]d\-mmm\-yy;@"/>
    <numFmt numFmtId="166" formatCode="[$-409]d\ /\ mmm\ /\ yy;@"/>
    <numFmt numFmtId="167" formatCode="0.0%"/>
    <numFmt numFmtId="168" formatCode="[$-409]d/mmm/yyyy;@"/>
    <numFmt numFmtId="169" formatCode="[$-409]dd\-mmm\-yy;@"/>
  </numFmts>
  <fonts count="19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sz val="12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u/>
      <sz val="1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8CBAD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0" fillId="0" borderId="0" xfId="0" applyFont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2"/>
    </xf>
    <xf numFmtId="164" fontId="2" fillId="0" borderId="0" xfId="0" applyNumberFormat="1" applyFont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4" xfId="0" applyFont="1" applyFill="1" applyBorder="1"/>
    <xf numFmtId="0" fontId="1" fillId="4" borderId="25" xfId="0" applyFont="1" applyFill="1" applyBorder="1"/>
    <xf numFmtId="164" fontId="1" fillId="0" borderId="13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left" vertical="center" indent="2"/>
    </xf>
    <xf numFmtId="0" fontId="1" fillId="0" borderId="28" xfId="0" applyFont="1" applyBorder="1" applyAlignment="1">
      <alignment horizontal="center" vertical="center"/>
    </xf>
    <xf numFmtId="0" fontId="1" fillId="0" borderId="28" xfId="0" applyFont="1" applyBorder="1"/>
    <xf numFmtId="0" fontId="1" fillId="0" borderId="29" xfId="0" applyFont="1" applyBorder="1"/>
    <xf numFmtId="0" fontId="12" fillId="0" borderId="7" xfId="0" applyFont="1" applyBorder="1"/>
    <xf numFmtId="164" fontId="12" fillId="0" borderId="8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left" vertical="center" indent="2"/>
    </xf>
    <xf numFmtId="166" fontId="12" fillId="0" borderId="7" xfId="0" applyNumberFormat="1" applyFont="1" applyBorder="1" applyAlignment="1">
      <alignment horizontal="center" vertical="center"/>
    </xf>
    <xf numFmtId="166" fontId="12" fillId="5" borderId="7" xfId="0" applyNumberFormat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left" vertical="center" indent="1"/>
    </xf>
    <xf numFmtId="0" fontId="12" fillId="0" borderId="7" xfId="0" applyFont="1" applyBorder="1" applyAlignment="1">
      <alignment horizontal="left" indent="1"/>
    </xf>
    <xf numFmtId="0" fontId="11" fillId="0" borderId="7" xfId="0" applyFont="1" applyBorder="1"/>
    <xf numFmtId="0" fontId="12" fillId="0" borderId="8" xfId="0" applyFont="1" applyBorder="1"/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 wrapText="1" indent="2"/>
    </xf>
    <xf numFmtId="0" fontId="7" fillId="0" borderId="0" xfId="0" applyFont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/>
    <xf numFmtId="0" fontId="12" fillId="0" borderId="11" xfId="0" applyFont="1" applyBorder="1"/>
    <xf numFmtId="0" fontId="12" fillId="4" borderId="22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11" fillId="0" borderId="1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2" fillId="0" borderId="7" xfId="0" applyNumberFormat="1" applyFont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12" fillId="9" borderId="7" xfId="0" applyFont="1" applyFill="1" applyBorder="1"/>
    <xf numFmtId="0" fontId="12" fillId="0" borderId="9" xfId="0" applyFont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0" fontId="12" fillId="0" borderId="9" xfId="0" applyFont="1" applyBorder="1"/>
    <xf numFmtId="166" fontId="12" fillId="0" borderId="10" xfId="0" applyNumberFormat="1" applyFont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2" fillId="10" borderId="7" xfId="0" applyFont="1" applyFill="1" applyBorder="1"/>
    <xf numFmtId="0" fontId="11" fillId="0" borderId="30" xfId="0" applyFont="1" applyBorder="1" applyAlignment="1">
      <alignment horizontal="center" vertical="center"/>
    </xf>
    <xf numFmtId="0" fontId="14" fillId="4" borderId="32" xfId="0" applyFont="1" applyFill="1" applyBorder="1" applyAlignment="1">
      <alignment horizontal="left" vertical="center"/>
    </xf>
    <xf numFmtId="0" fontId="4" fillId="9" borderId="35" xfId="0" applyFont="1" applyFill="1" applyBorder="1" applyAlignment="1">
      <alignment horizontal="left" vertical="center"/>
    </xf>
    <xf numFmtId="0" fontId="12" fillId="0" borderId="35" xfId="0" applyFont="1" applyBorder="1" applyAlignment="1">
      <alignment horizontal="left" vertical="center" wrapText="1" indent="2"/>
    </xf>
    <xf numFmtId="0" fontId="12" fillId="0" borderId="36" xfId="0" applyFont="1" applyBorder="1" applyAlignment="1">
      <alignment horizontal="left" vertical="center" wrapText="1" indent="2"/>
    </xf>
    <xf numFmtId="0" fontId="12" fillId="0" borderId="37" xfId="0" applyFont="1" applyBorder="1" applyAlignment="1">
      <alignment horizontal="left" vertical="center" wrapText="1" indent="2"/>
    </xf>
    <xf numFmtId="0" fontId="12" fillId="0" borderId="35" xfId="0" applyFont="1" applyBorder="1" applyAlignment="1">
      <alignment horizontal="left" vertical="center" indent="2"/>
    </xf>
    <xf numFmtId="0" fontId="11" fillId="10" borderId="35" xfId="0" applyFont="1" applyFill="1" applyBorder="1" applyAlignment="1">
      <alignment horizontal="left" vertical="center" indent="1"/>
    </xf>
    <xf numFmtId="0" fontId="12" fillId="0" borderId="38" xfId="0" applyFont="1" applyBorder="1"/>
    <xf numFmtId="0" fontId="7" fillId="5" borderId="0" xfId="0" applyFont="1" applyFill="1" applyAlignment="1">
      <alignment horizontal="center" vertical="center"/>
    </xf>
    <xf numFmtId="0" fontId="7" fillId="5" borderId="0" xfId="0" applyFont="1" applyFill="1"/>
    <xf numFmtId="0" fontId="9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Continuous"/>
    </xf>
    <xf numFmtId="9" fontId="7" fillId="5" borderId="0" xfId="1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165" fontId="4" fillId="5" borderId="0" xfId="0" applyNumberFormat="1" applyFont="1" applyFill="1" applyAlignment="1">
      <alignment horizontal="left" vertical="center"/>
    </xf>
    <xf numFmtId="167" fontId="5" fillId="0" borderId="1" xfId="1" applyNumberFormat="1" applyFont="1" applyBorder="1" applyAlignment="1">
      <alignment horizontal="center" vertical="center"/>
    </xf>
    <xf numFmtId="167" fontId="7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168" fontId="4" fillId="5" borderId="0" xfId="0" applyNumberFormat="1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11" fillId="4" borderId="24" xfId="0" applyFont="1" applyFill="1" applyBorder="1" applyAlignment="1">
      <alignment horizontal="left" vertical="center"/>
    </xf>
    <xf numFmtId="0" fontId="1" fillId="10" borderId="10" xfId="0" applyFont="1" applyFill="1" applyBorder="1"/>
    <xf numFmtId="0" fontId="1" fillId="10" borderId="10" xfId="0" applyFont="1" applyFill="1" applyBorder="1" applyAlignment="1">
      <alignment horizontal="center" vertical="center"/>
    </xf>
    <xf numFmtId="0" fontId="1" fillId="10" borderId="40" xfId="0" applyFont="1" applyFill="1" applyBorder="1"/>
    <xf numFmtId="0" fontId="11" fillId="0" borderId="10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 indent="2"/>
    </xf>
    <xf numFmtId="0" fontId="12" fillId="0" borderId="42" xfId="0" applyFont="1" applyBorder="1"/>
    <xf numFmtId="0" fontId="11" fillId="4" borderId="7" xfId="0" applyFont="1" applyFill="1" applyBorder="1" applyAlignment="1">
      <alignment horizontal="left" vertical="center"/>
    </xf>
    <xf numFmtId="0" fontId="1" fillId="4" borderId="7" xfId="0" applyFont="1" applyFill="1" applyBorder="1"/>
    <xf numFmtId="0" fontId="1" fillId="4" borderId="7" xfId="0" applyFont="1" applyFill="1" applyBorder="1" applyAlignment="1">
      <alignment horizontal="center" vertical="center"/>
    </xf>
    <xf numFmtId="0" fontId="1" fillId="4" borderId="11" xfId="0" applyFont="1" applyFill="1" applyBorder="1"/>
    <xf numFmtId="0" fontId="2" fillId="4" borderId="13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1" fillId="10" borderId="7" xfId="0" applyFont="1" applyFill="1" applyBorder="1"/>
    <xf numFmtId="0" fontId="1" fillId="10" borderId="7" xfId="0" applyFont="1" applyFill="1" applyBorder="1" applyAlignment="1">
      <alignment horizontal="center" vertical="center"/>
    </xf>
    <xf numFmtId="0" fontId="1" fillId="10" borderId="11" xfId="0" applyFont="1" applyFill="1" applyBorder="1"/>
    <xf numFmtId="0" fontId="2" fillId="0" borderId="39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0" xfId="0" applyFont="1" applyBorder="1" applyAlignment="1">
      <alignment horizontal="center" vertical="center"/>
    </xf>
    <xf numFmtId="0" fontId="1" fillId="0" borderId="40" xfId="0" applyFont="1" applyBorder="1"/>
    <xf numFmtId="0" fontId="2" fillId="4" borderId="26" xfId="0" applyFont="1" applyFill="1" applyBorder="1" applyAlignment="1">
      <alignment horizontal="center" vertical="center"/>
    </xf>
    <xf numFmtId="164" fontId="1" fillId="0" borderId="41" xfId="0" applyNumberFormat="1" applyFont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0" borderId="40" xfId="0" applyFont="1" applyBorder="1"/>
    <xf numFmtId="0" fontId="11" fillId="9" borderId="35" xfId="0" applyFont="1" applyFill="1" applyBorder="1" applyAlignment="1">
      <alignment horizontal="left" vertical="center"/>
    </xf>
    <xf numFmtId="0" fontId="1" fillId="4" borderId="51" xfId="0" applyFont="1" applyFill="1" applyBorder="1"/>
    <xf numFmtId="0" fontId="1" fillId="10" borderId="36" xfId="0" applyFont="1" applyFill="1" applyBorder="1"/>
    <xf numFmtId="0" fontId="12" fillId="0" borderId="35" xfId="0" applyFont="1" applyBorder="1" applyAlignment="1">
      <alignment horizontal="center" vertical="center"/>
    </xf>
    <xf numFmtId="0" fontId="12" fillId="0" borderId="56" xfId="0" applyFont="1" applyBorder="1" applyAlignment="1">
      <alignment horizontal="left" vertical="center" wrapText="1" indent="2"/>
    </xf>
    <xf numFmtId="0" fontId="12" fillId="0" borderId="56" xfId="0" applyFont="1" applyBorder="1" applyAlignment="1">
      <alignment horizontal="left" vertical="center" indent="2"/>
    </xf>
    <xf numFmtId="0" fontId="12" fillId="0" borderId="55" xfId="0" applyFont="1" applyBorder="1" applyAlignment="1">
      <alignment horizontal="left" vertical="center" indent="2"/>
    </xf>
    <xf numFmtId="0" fontId="11" fillId="0" borderId="55" xfId="0" applyFont="1" applyBorder="1" applyAlignment="1">
      <alignment horizontal="left" vertical="center"/>
    </xf>
    <xf numFmtId="0" fontId="12" fillId="0" borderId="57" xfId="0" applyFont="1" applyBorder="1" applyAlignment="1">
      <alignment horizontal="left" vertical="center" indent="2"/>
    </xf>
    <xf numFmtId="0" fontId="11" fillId="0" borderId="56" xfId="0" applyFont="1" applyBorder="1" applyAlignment="1">
      <alignment horizontal="left" vertical="center"/>
    </xf>
    <xf numFmtId="0" fontId="12" fillId="0" borderId="57" xfId="0" applyFont="1" applyBorder="1" applyAlignment="1">
      <alignment horizontal="left" vertical="center" wrapText="1" indent="2"/>
    </xf>
    <xf numFmtId="164" fontId="11" fillId="12" borderId="7" xfId="0" applyNumberFormat="1" applyFont="1" applyFill="1" applyBorder="1" applyAlignment="1">
      <alignment horizontal="center" vertical="center"/>
    </xf>
    <xf numFmtId="0" fontId="11" fillId="12" borderId="35" xfId="0" applyFont="1" applyFill="1" applyBorder="1" applyAlignment="1">
      <alignment horizontal="left" vertical="center" indent="2"/>
    </xf>
    <xf numFmtId="0" fontId="11" fillId="12" borderId="7" xfId="0" applyFont="1" applyFill="1" applyBorder="1" applyAlignment="1">
      <alignment horizontal="center" vertical="center"/>
    </xf>
    <xf numFmtId="0" fontId="11" fillId="12" borderId="7" xfId="0" applyFont="1" applyFill="1" applyBorder="1"/>
    <xf numFmtId="0" fontId="12" fillId="0" borderId="59" xfId="0" applyFont="1" applyBorder="1" applyAlignment="1">
      <alignment horizontal="left" vertical="center" indent="2"/>
    </xf>
    <xf numFmtId="0" fontId="11" fillId="5" borderId="0" xfId="0" applyFont="1" applyFill="1" applyAlignment="1">
      <alignment vertical="center"/>
    </xf>
    <xf numFmtId="0" fontId="12" fillId="5" borderId="0" xfId="0" applyFont="1" applyFill="1"/>
    <xf numFmtId="164" fontId="11" fillId="9" borderId="7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1" fillId="10" borderId="55" xfId="0" applyFont="1" applyFill="1" applyBorder="1" applyAlignment="1">
      <alignment horizontal="left" vertical="center"/>
    </xf>
    <xf numFmtId="0" fontId="1" fillId="10" borderId="55" xfId="0" applyFont="1" applyFill="1" applyBorder="1"/>
    <xf numFmtId="164" fontId="1" fillId="0" borderId="62" xfId="0" applyNumberFormat="1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1" fillId="10" borderId="56" xfId="0" applyFont="1" applyFill="1" applyBorder="1" applyAlignment="1">
      <alignment horizontal="left" vertical="center"/>
    </xf>
    <xf numFmtId="0" fontId="1" fillId="0" borderId="58" xfId="0" applyFont="1" applyBorder="1" applyAlignment="1">
      <alignment horizontal="left" vertical="center" indent="2"/>
    </xf>
    <xf numFmtId="165" fontId="1" fillId="0" borderId="10" xfId="0" applyNumberFormat="1" applyFont="1" applyBorder="1" applyAlignment="1">
      <alignment horizontal="center" vertical="center"/>
    </xf>
    <xf numFmtId="0" fontId="12" fillId="0" borderId="55" xfId="0" applyFont="1" applyBorder="1" applyAlignment="1">
      <alignment horizontal="left" vertical="center" wrapText="1" indent="2"/>
    </xf>
    <xf numFmtId="0" fontId="17" fillId="5" borderId="0" xfId="0" applyFont="1" applyFill="1"/>
    <xf numFmtId="0" fontId="1" fillId="9" borderId="7" xfId="0" applyFont="1" applyFill="1" applyBorder="1"/>
    <xf numFmtId="0" fontId="1" fillId="9" borderId="9" xfId="0" applyFont="1" applyFill="1" applyBorder="1"/>
    <xf numFmtId="0" fontId="1" fillId="9" borderId="44" xfId="0" applyFont="1" applyFill="1" applyBorder="1"/>
    <xf numFmtId="0" fontId="1" fillId="9" borderId="10" xfId="0" applyFont="1" applyFill="1" applyBorder="1"/>
    <xf numFmtId="0" fontId="1" fillId="0" borderId="64" xfId="0" applyFont="1" applyBorder="1"/>
    <xf numFmtId="0" fontId="17" fillId="5" borderId="10" xfId="0" applyFont="1" applyFill="1" applyBorder="1"/>
    <xf numFmtId="0" fontId="12" fillId="0" borderId="36" xfId="0" applyFont="1" applyBorder="1" applyAlignment="1">
      <alignment horizontal="left" vertical="center" indent="2"/>
    </xf>
    <xf numFmtId="0" fontId="12" fillId="0" borderId="28" xfId="0" applyFont="1" applyBorder="1" applyAlignment="1">
      <alignment horizontal="center" vertical="center"/>
    </xf>
    <xf numFmtId="166" fontId="12" fillId="0" borderId="28" xfId="0" applyNumberFormat="1" applyFont="1" applyBorder="1" applyAlignment="1">
      <alignment horizontal="center" vertical="center"/>
    </xf>
    <xf numFmtId="0" fontId="12" fillId="0" borderId="28" xfId="0" applyFont="1" applyBorder="1"/>
    <xf numFmtId="0" fontId="4" fillId="9" borderId="36" xfId="0" applyFont="1" applyFill="1" applyBorder="1" applyAlignment="1">
      <alignment horizontal="left" vertical="center"/>
    </xf>
    <xf numFmtId="0" fontId="12" fillId="9" borderId="10" xfId="0" applyFont="1" applyFill="1" applyBorder="1" applyAlignment="1">
      <alignment horizontal="center" vertical="center"/>
    </xf>
    <xf numFmtId="0" fontId="12" fillId="9" borderId="10" xfId="0" applyFont="1" applyFill="1" applyBorder="1"/>
    <xf numFmtId="0" fontId="12" fillId="13" borderId="7" xfId="0" applyFont="1" applyFill="1" applyBorder="1" applyAlignment="1">
      <alignment horizontal="center" vertical="center"/>
    </xf>
    <xf numFmtId="169" fontId="12" fillId="5" borderId="7" xfId="0" applyNumberFormat="1" applyFont="1" applyFill="1" applyBorder="1" applyAlignment="1">
      <alignment horizontal="center" vertical="center"/>
    </xf>
    <xf numFmtId="0" fontId="12" fillId="5" borderId="7" xfId="0" applyFont="1" applyFill="1" applyBorder="1"/>
    <xf numFmtId="164" fontId="12" fillId="5" borderId="7" xfId="0" applyNumberFormat="1" applyFont="1" applyFill="1" applyBorder="1" applyAlignment="1">
      <alignment horizontal="center" vertical="center"/>
    </xf>
    <xf numFmtId="0" fontId="12" fillId="5" borderId="35" xfId="0" applyFont="1" applyFill="1" applyBorder="1" applyAlignment="1">
      <alignment horizontal="left" vertical="center" indent="2"/>
    </xf>
    <xf numFmtId="0" fontId="10" fillId="5" borderId="0" xfId="0" applyFont="1" applyFill="1"/>
    <xf numFmtId="0" fontId="12" fillId="13" borderId="9" xfId="0" applyFont="1" applyFill="1" applyBorder="1" applyAlignment="1">
      <alignment horizontal="center" vertical="center"/>
    </xf>
    <xf numFmtId="0" fontId="0" fillId="5" borderId="65" xfId="0" applyFill="1" applyBorder="1"/>
    <xf numFmtId="0" fontId="17" fillId="0" borderId="0" xfId="0" applyFont="1"/>
    <xf numFmtId="0" fontId="17" fillId="5" borderId="7" xfId="0" applyFont="1" applyFill="1" applyBorder="1"/>
    <xf numFmtId="0" fontId="12" fillId="0" borderId="65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" fillId="4" borderId="54" xfId="0" applyFont="1" applyFill="1" applyBorder="1" applyAlignment="1">
      <alignment horizontal="center" vertical="center"/>
    </xf>
    <xf numFmtId="0" fontId="11" fillId="4" borderId="54" xfId="0" applyFont="1" applyFill="1" applyBorder="1" applyAlignment="1">
      <alignment horizontal="left" vertical="center"/>
    </xf>
    <xf numFmtId="0" fontId="4" fillId="4" borderId="54" xfId="0" applyFont="1" applyFill="1" applyBorder="1" applyAlignment="1">
      <alignment horizontal="center" vertical="center"/>
    </xf>
    <xf numFmtId="0" fontId="1" fillId="4" borderId="54" xfId="0" applyFont="1" applyFill="1" applyBorder="1"/>
    <xf numFmtId="0" fontId="11" fillId="3" borderId="7" xfId="0" applyFont="1" applyFill="1" applyBorder="1" applyAlignment="1">
      <alignment horizontal="center" vertical="center"/>
    </xf>
    <xf numFmtId="166" fontId="12" fillId="12" borderId="7" xfId="0" applyNumberFormat="1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0" fontId="17" fillId="12" borderId="7" xfId="0" applyFont="1" applyFill="1" applyBorder="1"/>
    <xf numFmtId="164" fontId="11" fillId="12" borderId="10" xfId="0" applyNumberFormat="1" applyFont="1" applyFill="1" applyBorder="1" applyAlignment="1">
      <alignment horizontal="center" vertical="center"/>
    </xf>
    <xf numFmtId="0" fontId="11" fillId="10" borderId="35" xfId="0" applyFont="1" applyFill="1" applyBorder="1" applyAlignment="1">
      <alignment horizontal="left" vertical="center" indent="2"/>
    </xf>
    <xf numFmtId="1" fontId="12" fillId="0" borderId="9" xfId="0" applyNumberFormat="1" applyFont="1" applyBorder="1" applyAlignment="1">
      <alignment horizontal="center" vertical="center"/>
    </xf>
    <xf numFmtId="1" fontId="11" fillId="10" borderId="7" xfId="0" applyNumberFormat="1" applyFont="1" applyFill="1" applyBorder="1" applyAlignment="1">
      <alignment horizontal="center" vertical="center"/>
    </xf>
    <xf numFmtId="1" fontId="11" fillId="12" borderId="10" xfId="0" applyNumberFormat="1" applyFont="1" applyFill="1" applyBorder="1" applyAlignment="1">
      <alignment horizontal="center" vertical="center"/>
    </xf>
    <xf numFmtId="1" fontId="11" fillId="9" borderId="7" xfId="0" applyNumberFormat="1" applyFont="1" applyFill="1" applyBorder="1" applyAlignment="1">
      <alignment horizontal="center" vertical="center"/>
    </xf>
    <xf numFmtId="1" fontId="11" fillId="12" borderId="7" xfId="0" applyNumberFormat="1" applyFont="1" applyFill="1" applyBorder="1" applyAlignment="1">
      <alignment horizontal="center" vertical="center"/>
    </xf>
    <xf numFmtId="1" fontId="12" fillId="0" borderId="10" xfId="0" applyNumberFormat="1" applyFont="1" applyBorder="1" applyAlignment="1">
      <alignment horizontal="center" vertical="center"/>
    </xf>
    <xf numFmtId="1" fontId="11" fillId="9" borderId="10" xfId="0" applyNumberFormat="1" applyFont="1" applyFill="1" applyBorder="1" applyAlignment="1">
      <alignment horizontal="center" vertical="center"/>
    </xf>
    <xf numFmtId="1" fontId="1" fillId="0" borderId="56" xfId="0" applyNumberFormat="1" applyFont="1" applyBorder="1" applyAlignment="1">
      <alignment horizontal="center" vertical="center"/>
    </xf>
    <xf numFmtId="1" fontId="2" fillId="10" borderId="55" xfId="0" applyNumberFormat="1" applyFont="1" applyFill="1" applyBorder="1" applyAlignment="1">
      <alignment horizontal="center" vertical="center"/>
    </xf>
    <xf numFmtId="1" fontId="2" fillId="0" borderId="56" xfId="0" applyNumberFormat="1" applyFont="1" applyBorder="1" applyAlignment="1">
      <alignment horizontal="center" vertical="center"/>
    </xf>
    <xf numFmtId="1" fontId="1" fillId="0" borderId="60" xfId="0" applyNumberFormat="1" applyFont="1" applyBorder="1" applyAlignment="1">
      <alignment horizontal="center" vertical="center"/>
    </xf>
    <xf numFmtId="1" fontId="2" fillId="10" borderId="61" xfId="0" applyNumberFormat="1" applyFont="1" applyFill="1" applyBorder="1" applyAlignment="1">
      <alignment horizontal="center" vertical="center"/>
    </xf>
    <xf numFmtId="1" fontId="2" fillId="10" borderId="60" xfId="0" applyNumberFormat="1" applyFont="1" applyFill="1" applyBorder="1" applyAlignment="1">
      <alignment horizontal="center" vertical="center"/>
    </xf>
    <xf numFmtId="0" fontId="11" fillId="13" borderId="7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166" fontId="12" fillId="0" borderId="7" xfId="0" applyNumberFormat="1" applyFont="1" applyBorder="1" applyAlignment="1">
      <alignment vertical="center"/>
    </xf>
    <xf numFmtId="0" fontId="7" fillId="6" borderId="7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7" xfId="0" applyFont="1" applyFill="1" applyBorder="1"/>
    <xf numFmtId="0" fontId="11" fillId="5" borderId="10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12" fillId="0" borderId="60" xfId="0" applyFont="1" applyBorder="1" applyAlignment="1">
      <alignment horizontal="center" vertical="center" wrapText="1"/>
    </xf>
    <xf numFmtId="166" fontId="12" fillId="0" borderId="35" xfId="0" applyNumberFormat="1" applyFont="1" applyBorder="1" applyAlignment="1">
      <alignment horizontal="center" vertical="center"/>
    </xf>
    <xf numFmtId="0" fontId="12" fillId="5" borderId="9" xfId="0" applyFont="1" applyFill="1" applyBorder="1"/>
    <xf numFmtId="0" fontId="12" fillId="0" borderId="60" xfId="0" applyFon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4" fillId="10" borderId="61" xfId="0" applyFont="1" applyFill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4" fillId="10" borderId="65" xfId="0" applyFont="1" applyFill="1" applyBorder="1" applyAlignment="1">
      <alignment horizontal="center" vertical="center"/>
    </xf>
    <xf numFmtId="0" fontId="12" fillId="0" borderId="67" xfId="0" applyFont="1" applyBorder="1" applyAlignment="1">
      <alignment horizontal="center" vertical="center"/>
    </xf>
    <xf numFmtId="0" fontId="4" fillId="10" borderId="67" xfId="0" applyFont="1" applyFill="1" applyBorder="1" applyAlignment="1">
      <alignment horizontal="center" vertical="center"/>
    </xf>
    <xf numFmtId="0" fontId="12" fillId="0" borderId="67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/>
    </xf>
    <xf numFmtId="166" fontId="12" fillId="5" borderId="35" xfId="0" applyNumberFormat="1" applyFont="1" applyFill="1" applyBorder="1" applyAlignment="1">
      <alignment horizontal="center" vertical="center"/>
    </xf>
    <xf numFmtId="166" fontId="12" fillId="0" borderId="36" xfId="0" applyNumberFormat="1" applyFont="1" applyBorder="1" applyAlignment="1">
      <alignment horizontal="center" vertical="center"/>
    </xf>
    <xf numFmtId="0" fontId="1" fillId="10" borderId="35" xfId="0" applyFont="1" applyFill="1" applyBorder="1"/>
    <xf numFmtId="0" fontId="17" fillId="12" borderId="10" xfId="0" applyFont="1" applyFill="1" applyBorder="1"/>
    <xf numFmtId="0" fontId="7" fillId="5" borderId="9" xfId="0" applyFont="1" applyFill="1" applyBorder="1" applyAlignment="1">
      <alignment horizontal="center" vertical="center"/>
    </xf>
    <xf numFmtId="0" fontId="0" fillId="0" borderId="65" xfId="0" applyBorder="1"/>
    <xf numFmtId="166" fontId="12" fillId="11" borderId="7" xfId="0" applyNumberFormat="1" applyFont="1" applyFill="1" applyBorder="1" applyAlignment="1">
      <alignment horizontal="center" vertical="center"/>
    </xf>
    <xf numFmtId="0" fontId="1" fillId="10" borderId="56" xfId="0" applyFont="1" applyFill="1" applyBorder="1"/>
    <xf numFmtId="0" fontId="12" fillId="0" borderId="56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0" fontId="12" fillId="0" borderId="58" xfId="0" applyFont="1" applyBorder="1" applyAlignment="1">
      <alignment horizontal="left" vertical="center" wrapText="1" indent="2"/>
    </xf>
    <xf numFmtId="0" fontId="12" fillId="0" borderId="68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/>
    </xf>
    <xf numFmtId="166" fontId="12" fillId="0" borderId="63" xfId="0" applyNumberFormat="1" applyFont="1" applyBorder="1" applyAlignment="1">
      <alignment horizontal="center" vertical="center"/>
    </xf>
    <xf numFmtId="166" fontId="12" fillId="5" borderId="28" xfId="0" applyNumberFormat="1" applyFont="1" applyFill="1" applyBorder="1" applyAlignment="1">
      <alignment horizontal="center" vertical="center"/>
    </xf>
    <xf numFmtId="166" fontId="12" fillId="0" borderId="28" xfId="0" applyNumberFormat="1" applyFont="1" applyBorder="1" applyAlignment="1">
      <alignment vertical="center"/>
    </xf>
    <xf numFmtId="0" fontId="7" fillId="5" borderId="28" xfId="0" applyFont="1" applyFill="1" applyBorder="1" applyAlignment="1">
      <alignment horizontal="center" vertical="center"/>
    </xf>
    <xf numFmtId="0" fontId="12" fillId="0" borderId="29" xfId="0" applyFont="1" applyBorder="1"/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/>
    </xf>
    <xf numFmtId="0" fontId="4" fillId="12" borderId="61" xfId="0" applyFont="1" applyFill="1" applyBorder="1" applyAlignment="1">
      <alignment horizontal="center" vertical="center"/>
    </xf>
    <xf numFmtId="0" fontId="0" fillId="12" borderId="0" xfId="0" applyFill="1"/>
    <xf numFmtId="0" fontId="2" fillId="12" borderId="55" xfId="0" applyFont="1" applyFill="1" applyBorder="1" applyAlignment="1">
      <alignment horizontal="center" vertical="center"/>
    </xf>
    <xf numFmtId="0" fontId="11" fillId="12" borderId="55" xfId="0" applyFont="1" applyFill="1" applyBorder="1" applyAlignment="1">
      <alignment horizontal="left" vertical="center"/>
    </xf>
    <xf numFmtId="0" fontId="1" fillId="12" borderId="56" xfId="0" applyFont="1" applyFill="1" applyBorder="1"/>
    <xf numFmtId="0" fontId="1" fillId="12" borderId="36" xfId="0" applyFont="1" applyFill="1" applyBorder="1"/>
    <xf numFmtId="0" fontId="1" fillId="12" borderId="10" xfId="0" applyFont="1" applyFill="1" applyBorder="1"/>
    <xf numFmtId="0" fontId="1" fillId="12" borderId="10" xfId="0" applyFont="1" applyFill="1" applyBorder="1" applyAlignment="1">
      <alignment horizontal="center" vertical="center"/>
    </xf>
    <xf numFmtId="0" fontId="1" fillId="12" borderId="40" xfId="0" applyFont="1" applyFill="1" applyBorder="1"/>
    <xf numFmtId="0" fontId="0" fillId="0" borderId="0" xfId="0"/>
  </cellXfs>
  <cellStyles count="2">
    <cellStyle name="Normal" xfId="0" builtinId="0"/>
    <cellStyle name="Percent" xfId="1" builtinId="5"/>
  </cellStyles>
  <dxfs count="1081"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D6DCE4"/>
      <color rgb="FFF8CBAD"/>
      <color rgb="FFFFFFFF"/>
      <color rgb="FFFFFF00"/>
      <color rgb="FFFFC000"/>
      <color rgb="FFF8D0AD"/>
      <color rgb="FF92D050"/>
      <color rgb="FFFF0000"/>
      <color rgb="FFFFC0FF"/>
      <color rgb="FF1C98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</xdr:colOff>
      <xdr:row>0</xdr:row>
      <xdr:rowOff>123265</xdr:rowOff>
    </xdr:from>
    <xdr:to>
      <xdr:col>2</xdr:col>
      <xdr:colOff>3469636</xdr:colOff>
      <xdr:row>0</xdr:row>
      <xdr:rowOff>875288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40604F-2A7E-4D5C-BC23-FA1C91A65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" y="123265"/>
          <a:ext cx="4515971" cy="7520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0</xdr:row>
      <xdr:rowOff>123264</xdr:rowOff>
    </xdr:from>
    <xdr:to>
      <xdr:col>3</xdr:col>
      <xdr:colOff>291353</xdr:colOff>
      <xdr:row>0</xdr:row>
      <xdr:rowOff>875287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61CD9C-CED3-4FB0-A506-2AA30DF88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" y="123264"/>
          <a:ext cx="4515971" cy="7520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0</xdr:row>
      <xdr:rowOff>123264</xdr:rowOff>
    </xdr:from>
    <xdr:to>
      <xdr:col>2</xdr:col>
      <xdr:colOff>3597088</xdr:colOff>
      <xdr:row>0</xdr:row>
      <xdr:rowOff>875287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FB681C-AB93-4E5B-9B2A-846846E35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" y="123264"/>
          <a:ext cx="4513730" cy="7520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0</xdr:row>
      <xdr:rowOff>123264</xdr:rowOff>
    </xdr:from>
    <xdr:to>
      <xdr:col>2</xdr:col>
      <xdr:colOff>3597088</xdr:colOff>
      <xdr:row>0</xdr:row>
      <xdr:rowOff>875287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0E7E64-67D5-4E83-9D6A-92D0E777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" y="123264"/>
          <a:ext cx="4513730" cy="7520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0</xdr:row>
      <xdr:rowOff>123264</xdr:rowOff>
    </xdr:from>
    <xdr:to>
      <xdr:col>2</xdr:col>
      <xdr:colOff>3597088</xdr:colOff>
      <xdr:row>0</xdr:row>
      <xdr:rowOff>875287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7F007B-6FBE-4508-9E3B-48E3C7A15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" y="123264"/>
          <a:ext cx="4513730" cy="752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AF548"/>
  <sheetViews>
    <sheetView tabSelected="1" showWhiteSpace="0" view="pageBreakPreview" zoomScale="70" zoomScaleNormal="70" zoomScaleSheetLayoutView="70" zoomScalePageLayoutView="10" workbookViewId="0">
      <pane ySplit="11" topLeftCell="A112" activePane="bottomLeft" state="frozen"/>
      <selection activeCell="C98" sqref="C98"/>
      <selection pane="bottomLeft" activeCell="U137" sqref="U137"/>
    </sheetView>
  </sheetViews>
  <sheetFormatPr defaultRowHeight="30" customHeight="1" x14ac:dyDescent="0.25"/>
  <cols>
    <col min="1" max="1" width="1.85546875" customWidth="1"/>
    <col min="2" max="2" width="14.7109375" style="143" customWidth="1"/>
    <col min="3" max="3" width="71.42578125" style="5" customWidth="1"/>
    <col min="4" max="4" width="18.140625" style="6" customWidth="1"/>
    <col min="5" max="5" width="19" style="6" customWidth="1"/>
    <col min="6" max="6" width="13.42578125" style="5" customWidth="1"/>
    <col min="7" max="7" width="17.5703125" style="5" customWidth="1"/>
    <col min="8" max="8" width="16.28515625" style="5" customWidth="1"/>
    <col min="9" max="9" width="11.28515625" style="5" customWidth="1"/>
    <col min="10" max="10" width="14.85546875" style="5" customWidth="1"/>
    <col min="11" max="11" width="18.5703125" style="5" customWidth="1"/>
    <col min="12" max="12" width="10.42578125" style="5" customWidth="1"/>
    <col min="13" max="13" width="15.42578125" style="5" customWidth="1"/>
    <col min="14" max="14" width="13.140625" style="5" customWidth="1"/>
    <col min="15" max="15" width="11.140625" style="5" customWidth="1"/>
    <col min="16" max="16" width="16" style="5" customWidth="1"/>
    <col min="17" max="17" width="14" style="5" customWidth="1"/>
    <col min="18" max="18" width="10.85546875" style="5" customWidth="1"/>
    <col min="19" max="19" width="15.7109375" style="5" customWidth="1"/>
    <col min="20" max="20" width="13.5703125" style="5" customWidth="1"/>
    <col min="21" max="21" width="9.28515625" style="5" customWidth="1"/>
    <col min="22" max="23" width="24.7109375" style="5" customWidth="1"/>
    <col min="24" max="24" width="15.7109375" style="89" bestFit="1" customWidth="1"/>
    <col min="25" max="26" width="12.5703125" style="89" bestFit="1" customWidth="1"/>
    <col min="27" max="27" width="15.7109375" style="89" bestFit="1" customWidth="1"/>
    <col min="28" max="28" width="12.5703125" style="89" bestFit="1" customWidth="1"/>
    <col min="29" max="29" width="13" style="89" bestFit="1" customWidth="1"/>
    <col min="30" max="30" width="15.7109375" style="89" bestFit="1" customWidth="1"/>
    <col min="31" max="31" width="13" style="89" bestFit="1" customWidth="1"/>
    <col min="32" max="32" width="11.140625" style="89" bestFit="1" customWidth="1"/>
    <col min="33" max="16384" width="9.140625" style="89"/>
  </cols>
  <sheetData>
    <row r="1" spans="1:32" ht="75" customHeight="1" x14ac:dyDescent="0.25">
      <c r="B1" s="139"/>
      <c r="C1" s="82"/>
      <c r="D1" s="76"/>
      <c r="E1" s="74"/>
      <c r="F1" s="77"/>
      <c r="G1" s="75"/>
      <c r="H1" s="75"/>
      <c r="I1" s="74"/>
      <c r="J1" s="75"/>
      <c r="K1" s="75"/>
      <c r="L1" s="74"/>
      <c r="M1" s="75"/>
      <c r="N1" s="75"/>
      <c r="O1" s="74"/>
      <c r="P1" s="75"/>
      <c r="Q1" s="75"/>
      <c r="R1" s="74"/>
      <c r="S1" s="75"/>
      <c r="T1" s="75"/>
      <c r="U1" s="92"/>
      <c r="V1" s="92"/>
      <c r="W1" s="80"/>
    </row>
    <row r="2" spans="1:32" ht="21.95" customHeight="1" x14ac:dyDescent="0.25">
      <c r="B2" s="82" t="s">
        <v>197</v>
      </c>
      <c r="C2" s="83" t="s">
        <v>198</v>
      </c>
      <c r="D2" s="76"/>
      <c r="E2" s="74"/>
      <c r="F2" s="75"/>
      <c r="G2" s="75"/>
      <c r="H2" s="75"/>
      <c r="I2" s="78"/>
      <c r="J2" s="75"/>
      <c r="K2" s="75"/>
      <c r="L2" s="78"/>
      <c r="M2" s="75"/>
      <c r="N2" s="75"/>
      <c r="O2" s="78"/>
      <c r="P2" s="75"/>
      <c r="Q2" s="75"/>
      <c r="R2" s="78"/>
      <c r="S2" s="75"/>
      <c r="T2" s="75"/>
      <c r="U2" s="84">
        <f>COUNTIF($D$11:$D$1048576,"A")/$U$6</f>
        <v>0.61165048543689315</v>
      </c>
      <c r="V2" s="7" t="s">
        <v>8</v>
      </c>
      <c r="W2" s="87" t="s">
        <v>12</v>
      </c>
    </row>
    <row r="3" spans="1:32" ht="21.95" customHeight="1" x14ac:dyDescent="0.25">
      <c r="B3" s="82" t="s">
        <v>192</v>
      </c>
      <c r="C3" s="82" t="s">
        <v>350</v>
      </c>
      <c r="D3" s="76"/>
      <c r="E3" s="74"/>
      <c r="F3" s="93"/>
      <c r="G3" s="75"/>
      <c r="H3" s="75"/>
      <c r="I3" s="78"/>
      <c r="J3" s="75"/>
      <c r="K3" s="75"/>
      <c r="L3" s="78"/>
      <c r="M3" s="75"/>
      <c r="N3" s="75"/>
      <c r="O3" s="78"/>
      <c r="P3" s="75"/>
      <c r="Q3" s="75"/>
      <c r="R3" s="78"/>
      <c r="S3" s="75"/>
      <c r="T3" s="75"/>
      <c r="U3" s="84">
        <f>COUNTIF($D$11:$D$1048576,"B")/$U$6</f>
        <v>0.27669902912621358</v>
      </c>
      <c r="V3" s="204" t="s">
        <v>9</v>
      </c>
      <c r="W3" s="87" t="s">
        <v>13</v>
      </c>
    </row>
    <row r="4" spans="1:32" s="90" customFormat="1" ht="21.95" customHeight="1" x14ac:dyDescent="0.25">
      <c r="A4" s="36"/>
      <c r="B4" s="82" t="s">
        <v>193</v>
      </c>
      <c r="C4" s="91" t="s">
        <v>199</v>
      </c>
      <c r="D4" s="79"/>
      <c r="E4" s="79"/>
      <c r="F4" s="80"/>
      <c r="G4" s="80"/>
      <c r="H4" s="80"/>
      <c r="I4" s="78"/>
      <c r="J4" s="80"/>
      <c r="K4" s="80"/>
      <c r="L4" s="78"/>
      <c r="M4" s="80"/>
      <c r="N4" s="80"/>
      <c r="O4" s="78"/>
      <c r="P4" s="80"/>
      <c r="Q4" s="80"/>
      <c r="R4" s="78"/>
      <c r="S4" s="80"/>
      <c r="T4" s="80"/>
      <c r="U4" s="85">
        <f>COUNTIF($D$11:$D$1048576,"C")/$U$6</f>
        <v>0.15048543689320387</v>
      </c>
      <c r="V4" s="35" t="s">
        <v>10</v>
      </c>
      <c r="W4" s="87" t="s">
        <v>23</v>
      </c>
    </row>
    <row r="5" spans="1:32" ht="21.95" customHeight="1" x14ac:dyDescent="0.25">
      <c r="B5" s="82" t="s">
        <v>196</v>
      </c>
      <c r="C5" s="91" t="s">
        <v>200</v>
      </c>
      <c r="D5" s="74"/>
      <c r="E5" s="74"/>
      <c r="F5" s="75"/>
      <c r="G5" s="75"/>
      <c r="H5" s="75"/>
      <c r="I5" s="81"/>
      <c r="J5" s="75"/>
      <c r="K5" s="75"/>
      <c r="L5" s="81"/>
      <c r="M5" s="75"/>
      <c r="N5" s="75"/>
      <c r="O5" s="81"/>
      <c r="P5" s="75"/>
      <c r="Q5" s="75"/>
      <c r="R5" s="81"/>
      <c r="S5" s="75"/>
      <c r="T5" s="75"/>
      <c r="U5" s="85">
        <f>COUNTIF($D$11:$D$1048576,"U/R")/$U$6</f>
        <v>0</v>
      </c>
      <c r="V5" s="52" t="s">
        <v>11</v>
      </c>
      <c r="W5" s="87" t="s">
        <v>112</v>
      </c>
    </row>
    <row r="6" spans="1:32" ht="21.95" customHeight="1" x14ac:dyDescent="0.25">
      <c r="B6" s="91" t="s">
        <v>195</v>
      </c>
      <c r="C6" s="82" t="s">
        <v>240</v>
      </c>
      <c r="D6" s="74"/>
      <c r="E6" s="74"/>
      <c r="F6" s="75"/>
      <c r="G6" s="75"/>
      <c r="H6" s="75"/>
      <c r="I6" s="81"/>
      <c r="J6" s="75"/>
      <c r="K6" s="75"/>
      <c r="L6" s="81"/>
      <c r="M6" s="75"/>
      <c r="N6" s="75"/>
      <c r="O6" s="81"/>
      <c r="P6" s="75"/>
      <c r="Q6" s="75"/>
      <c r="R6" s="81"/>
      <c r="S6" s="75"/>
      <c r="T6" s="75"/>
      <c r="U6" s="86">
        <f>COUNT($B$11:$B$1048576)-8</f>
        <v>206</v>
      </c>
      <c r="V6" s="88" t="s">
        <v>141</v>
      </c>
      <c r="W6" s="87" t="s">
        <v>142</v>
      </c>
    </row>
    <row r="7" spans="1:32" ht="21.95" customHeight="1" x14ac:dyDescent="0.25">
      <c r="B7" s="91" t="s">
        <v>194</v>
      </c>
      <c r="C7" s="83" t="s">
        <v>639</v>
      </c>
      <c r="D7" s="74"/>
      <c r="E7" s="74"/>
      <c r="F7" s="75"/>
      <c r="G7" s="75"/>
      <c r="H7" s="75"/>
      <c r="I7" s="81"/>
      <c r="J7" s="75"/>
      <c r="K7" s="75"/>
      <c r="L7" s="81"/>
      <c r="M7" s="75"/>
      <c r="N7" s="75"/>
      <c r="O7" s="81"/>
      <c r="P7" s="75"/>
      <c r="Q7" s="75"/>
      <c r="R7" s="81"/>
      <c r="S7" s="75"/>
      <c r="T7" s="75"/>
      <c r="U7" s="95"/>
      <c r="V7" s="74"/>
      <c r="W7" s="80"/>
    </row>
    <row r="8" spans="1:32" ht="15.75" thickBot="1" x14ac:dyDescent="0.3">
      <c r="B8" s="140"/>
      <c r="C8" s="75"/>
      <c r="D8" s="74"/>
      <c r="E8" s="74"/>
      <c r="F8" s="75"/>
      <c r="G8" s="75"/>
      <c r="H8" s="75"/>
      <c r="I8" s="81"/>
      <c r="J8" s="75"/>
      <c r="K8" s="75"/>
      <c r="L8" s="81"/>
      <c r="M8" s="75"/>
      <c r="N8" s="75"/>
      <c r="O8" s="81"/>
      <c r="P8" s="75"/>
      <c r="Q8" s="75"/>
      <c r="R8" s="81"/>
      <c r="S8" s="75"/>
      <c r="T8" s="75"/>
      <c r="U8" s="95"/>
      <c r="V8" s="74"/>
      <c r="W8" s="80"/>
    </row>
    <row r="9" spans="1:32" s="90" customFormat="1" ht="20.25" customHeight="1" x14ac:dyDescent="0.25">
      <c r="A9" s="36"/>
      <c r="B9" s="251" t="s">
        <v>2</v>
      </c>
      <c r="C9" s="253" t="s">
        <v>342</v>
      </c>
      <c r="D9" s="255" t="s">
        <v>95</v>
      </c>
      <c r="E9" s="261" t="s">
        <v>113</v>
      </c>
      <c r="F9" s="257" t="s">
        <v>4</v>
      </c>
      <c r="G9" s="246" t="s">
        <v>34</v>
      </c>
      <c r="H9" s="247"/>
      <c r="I9" s="248"/>
      <c r="J9" s="246" t="s">
        <v>35</v>
      </c>
      <c r="K9" s="247"/>
      <c r="L9" s="248"/>
      <c r="M9" s="246" t="s">
        <v>36</v>
      </c>
      <c r="N9" s="247"/>
      <c r="O9" s="248"/>
      <c r="P9" s="246" t="s">
        <v>190</v>
      </c>
      <c r="Q9" s="247"/>
      <c r="R9" s="248"/>
      <c r="S9" s="246" t="s">
        <v>191</v>
      </c>
      <c r="T9" s="247"/>
      <c r="U9" s="248"/>
      <c r="V9" s="259" t="s">
        <v>6</v>
      </c>
      <c r="W9" s="249" t="s">
        <v>7</v>
      </c>
      <c r="X9" s="246" t="s">
        <v>636</v>
      </c>
      <c r="Y9" s="247"/>
      <c r="Z9" s="248"/>
      <c r="AA9" s="246" t="s">
        <v>637</v>
      </c>
      <c r="AB9" s="247"/>
      <c r="AC9" s="248"/>
      <c r="AD9" s="246" t="s">
        <v>638</v>
      </c>
      <c r="AE9" s="247"/>
      <c r="AF9" s="248"/>
    </row>
    <row r="10" spans="1:32" ht="30" customHeight="1" thickBot="1" x14ac:dyDescent="0.3">
      <c r="B10" s="252"/>
      <c r="C10" s="254"/>
      <c r="D10" s="256"/>
      <c r="E10" s="262"/>
      <c r="F10" s="258"/>
      <c r="G10" s="51" t="s">
        <v>33</v>
      </c>
      <c r="H10" s="46" t="s">
        <v>17</v>
      </c>
      <c r="I10" s="40" t="s">
        <v>5</v>
      </c>
      <c r="J10" s="39" t="s">
        <v>33</v>
      </c>
      <c r="K10" s="46" t="s">
        <v>394</v>
      </c>
      <c r="L10" s="40" t="s">
        <v>5</v>
      </c>
      <c r="M10" s="39" t="s">
        <v>33</v>
      </c>
      <c r="N10" s="46" t="s">
        <v>17</v>
      </c>
      <c r="O10" s="40" t="s">
        <v>5</v>
      </c>
      <c r="P10" s="39" t="s">
        <v>33</v>
      </c>
      <c r="Q10" s="46" t="s">
        <v>17</v>
      </c>
      <c r="R10" s="40" t="s">
        <v>5</v>
      </c>
      <c r="S10" s="46" t="s">
        <v>33</v>
      </c>
      <c r="T10" s="46" t="s">
        <v>17</v>
      </c>
      <c r="U10" s="40" t="s">
        <v>5</v>
      </c>
      <c r="V10" s="260"/>
      <c r="W10" s="250"/>
      <c r="X10" s="39" t="s">
        <v>33</v>
      </c>
      <c r="Y10" s="46" t="s">
        <v>17</v>
      </c>
      <c r="Z10" s="40" t="s">
        <v>5</v>
      </c>
      <c r="AA10" s="39" t="s">
        <v>33</v>
      </c>
      <c r="AB10" s="46" t="s">
        <v>17</v>
      </c>
      <c r="AC10" s="40" t="s">
        <v>5</v>
      </c>
      <c r="AD10" s="46" t="s">
        <v>33</v>
      </c>
      <c r="AE10" s="46" t="s">
        <v>17</v>
      </c>
      <c r="AF10" s="40" t="s">
        <v>5</v>
      </c>
    </row>
    <row r="11" spans="1:32" ht="30" customHeight="1" x14ac:dyDescent="0.25">
      <c r="B11" s="44"/>
      <c r="C11" s="66" t="s">
        <v>92</v>
      </c>
      <c r="D11" s="44"/>
      <c r="E11" s="44"/>
      <c r="F11" s="45"/>
      <c r="G11" s="45"/>
      <c r="H11" s="45"/>
      <c r="I11" s="44"/>
      <c r="J11" s="45"/>
      <c r="K11" s="45"/>
      <c r="L11" s="44"/>
      <c r="M11" s="45"/>
      <c r="N11" s="45"/>
      <c r="O11" s="44"/>
      <c r="P11" s="45"/>
      <c r="Q11" s="45"/>
      <c r="R11" s="44"/>
      <c r="S11" s="45"/>
      <c r="T11" s="45"/>
      <c r="U11" s="44"/>
      <c r="V11" s="45"/>
      <c r="W11" s="45"/>
    </row>
    <row r="12" spans="1:32" ht="20.100000000000001" customHeight="1" x14ac:dyDescent="0.25">
      <c r="B12" s="141" t="s">
        <v>8</v>
      </c>
      <c r="C12" s="67" t="s">
        <v>635</v>
      </c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8"/>
      <c r="V12" s="58"/>
      <c r="W12" s="58"/>
    </row>
    <row r="13" spans="1:32" s="152" customFormat="1" ht="20.100000000000001" customHeight="1" x14ac:dyDescent="0.25">
      <c r="A13" s="174"/>
      <c r="B13" s="134" t="s">
        <v>1</v>
      </c>
      <c r="C13" s="135" t="s">
        <v>21</v>
      </c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7"/>
      <c r="V13" s="137"/>
      <c r="W13" s="137"/>
    </row>
    <row r="14" spans="1:32" ht="20.100000000000001" customHeight="1" x14ac:dyDescent="0.25">
      <c r="B14" s="56">
        <f>MAX(B12:B13)+1</f>
        <v>1</v>
      </c>
      <c r="C14" s="71" t="s">
        <v>447</v>
      </c>
      <c r="D14" s="120" t="s">
        <v>8</v>
      </c>
      <c r="E14" s="230">
        <v>45170</v>
      </c>
      <c r="F14" s="120" t="s">
        <v>43</v>
      </c>
      <c r="G14" s="230">
        <v>45155</v>
      </c>
      <c r="H14" s="230">
        <v>45156</v>
      </c>
      <c r="I14" s="120" t="s">
        <v>10</v>
      </c>
      <c r="J14" s="230">
        <v>45162</v>
      </c>
      <c r="K14" s="230">
        <v>45163</v>
      </c>
      <c r="L14" s="120" t="s">
        <v>10</v>
      </c>
      <c r="M14" s="230">
        <v>45169</v>
      </c>
      <c r="N14" s="230">
        <v>45170</v>
      </c>
      <c r="O14" s="120" t="s">
        <v>8</v>
      </c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</row>
    <row r="15" spans="1:32" ht="20.100000000000001" customHeight="1" x14ac:dyDescent="0.25">
      <c r="B15" s="56">
        <f t="shared" ref="B15:B17" si="0">MAX(B13:B14)+1</f>
        <v>2</v>
      </c>
      <c r="C15" s="71" t="s">
        <v>448</v>
      </c>
      <c r="D15" s="23" t="s">
        <v>8</v>
      </c>
      <c r="E15" s="26">
        <v>45197</v>
      </c>
      <c r="F15" s="23" t="s">
        <v>59</v>
      </c>
      <c r="G15" s="26">
        <v>45188</v>
      </c>
      <c r="H15" s="26">
        <v>45189</v>
      </c>
      <c r="I15" s="166" t="s">
        <v>9</v>
      </c>
      <c r="J15" s="26">
        <v>45196</v>
      </c>
      <c r="K15" s="26">
        <v>45197</v>
      </c>
      <c r="L15" s="23" t="s">
        <v>10</v>
      </c>
      <c r="M15" s="230">
        <v>45089</v>
      </c>
      <c r="N15" s="230">
        <v>45106</v>
      </c>
      <c r="O15" s="23" t="s">
        <v>10</v>
      </c>
      <c r="P15" s="230">
        <v>45119</v>
      </c>
      <c r="Q15" s="230">
        <v>45120</v>
      </c>
      <c r="R15" s="23" t="s">
        <v>10</v>
      </c>
      <c r="S15" s="230">
        <v>45132</v>
      </c>
      <c r="T15" s="230">
        <v>45133</v>
      </c>
      <c r="U15" s="23" t="s">
        <v>10</v>
      </c>
      <c r="V15" s="230"/>
      <c r="W15" s="230"/>
      <c r="X15" s="230">
        <v>45146</v>
      </c>
      <c r="Y15" s="230">
        <v>45147</v>
      </c>
      <c r="Z15" s="23" t="s">
        <v>10</v>
      </c>
      <c r="AA15" s="230">
        <v>45149</v>
      </c>
      <c r="AB15" s="230">
        <v>45150</v>
      </c>
      <c r="AC15" s="23" t="s">
        <v>9</v>
      </c>
      <c r="AD15" s="27">
        <v>45525</v>
      </c>
      <c r="AE15" s="27">
        <v>45526</v>
      </c>
      <c r="AF15" s="23" t="s">
        <v>8</v>
      </c>
    </row>
    <row r="16" spans="1:32" ht="20.100000000000001" customHeight="1" x14ac:dyDescent="0.25">
      <c r="B16" s="56">
        <f t="shared" si="0"/>
        <v>3</v>
      </c>
      <c r="C16" s="71" t="s">
        <v>450</v>
      </c>
      <c r="D16" s="23" t="s">
        <v>8</v>
      </c>
      <c r="E16" s="27">
        <v>45156</v>
      </c>
      <c r="F16" s="23" t="s">
        <v>19</v>
      </c>
      <c r="G16" s="27">
        <v>45143</v>
      </c>
      <c r="H16" s="27">
        <v>45147</v>
      </c>
      <c r="I16" s="23" t="s">
        <v>10</v>
      </c>
      <c r="J16" s="27">
        <v>45155</v>
      </c>
      <c r="K16" s="27">
        <v>45156</v>
      </c>
      <c r="L16" s="23" t="s">
        <v>8</v>
      </c>
      <c r="M16" s="230">
        <v>45089</v>
      </c>
      <c r="N16" s="230">
        <v>45106</v>
      </c>
      <c r="O16" s="23" t="s">
        <v>10</v>
      </c>
      <c r="P16" s="230">
        <v>45119</v>
      </c>
      <c r="Q16" s="230">
        <v>45120</v>
      </c>
      <c r="R16" s="23" t="s">
        <v>10</v>
      </c>
      <c r="S16" s="230">
        <v>45132</v>
      </c>
      <c r="T16" s="230">
        <v>45133</v>
      </c>
      <c r="U16" s="23" t="s">
        <v>10</v>
      </c>
      <c r="V16" s="230"/>
      <c r="W16" s="230"/>
      <c r="X16" s="230">
        <v>45146</v>
      </c>
      <c r="Y16" s="230">
        <v>45147</v>
      </c>
      <c r="Z16" s="23" t="s">
        <v>10</v>
      </c>
      <c r="AA16" s="230">
        <v>45155</v>
      </c>
      <c r="AB16" s="230">
        <v>45156</v>
      </c>
      <c r="AC16" s="23" t="s">
        <v>8</v>
      </c>
      <c r="AD16" s="23"/>
      <c r="AE16" s="23"/>
      <c r="AF16" s="23"/>
    </row>
    <row r="17" spans="1:32" ht="20.25" customHeight="1" x14ac:dyDescent="0.25">
      <c r="B17" s="56">
        <f t="shared" si="0"/>
        <v>4</v>
      </c>
      <c r="C17" s="71" t="s">
        <v>438</v>
      </c>
      <c r="D17" s="23" t="s">
        <v>8</v>
      </c>
      <c r="E17" s="27">
        <v>45150</v>
      </c>
      <c r="F17" s="23" t="s">
        <v>39</v>
      </c>
      <c r="G17" s="27">
        <v>45143</v>
      </c>
      <c r="H17" s="27">
        <v>45147</v>
      </c>
      <c r="I17" s="166" t="s">
        <v>9</v>
      </c>
      <c r="J17" s="27">
        <v>45149</v>
      </c>
      <c r="K17" s="27">
        <v>45150</v>
      </c>
      <c r="L17" s="23" t="s">
        <v>8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ht="20.100000000000001" customHeight="1" x14ac:dyDescent="0.25">
      <c r="B18" s="141" t="s">
        <v>9</v>
      </c>
      <c r="C18" s="67" t="s">
        <v>14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8"/>
      <c r="V18" s="58"/>
      <c r="W18" s="58"/>
    </row>
    <row r="19" spans="1:32" s="152" customFormat="1" ht="20.100000000000001" customHeight="1" x14ac:dyDescent="0.25">
      <c r="A19" s="174"/>
      <c r="B19" s="134" t="s">
        <v>0</v>
      </c>
      <c r="C19" s="135" t="s">
        <v>20</v>
      </c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7"/>
      <c r="V19" s="137"/>
      <c r="W19" s="137"/>
    </row>
    <row r="20" spans="1:32" ht="20.100000000000001" customHeight="1" x14ac:dyDescent="0.25">
      <c r="B20" s="56">
        <f>MAX(B17:B19)+1</f>
        <v>5</v>
      </c>
      <c r="C20" s="71" t="s">
        <v>239</v>
      </c>
      <c r="D20" s="23" t="s">
        <v>10</v>
      </c>
      <c r="E20" s="26">
        <v>45202</v>
      </c>
      <c r="F20" s="23" t="s">
        <v>53</v>
      </c>
      <c r="G20" s="26">
        <v>45197</v>
      </c>
      <c r="H20" s="26">
        <v>45202</v>
      </c>
      <c r="I20" s="23" t="s">
        <v>10</v>
      </c>
      <c r="J20" s="26"/>
      <c r="K20" s="26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1"/>
    </row>
    <row r="21" spans="1:32" ht="20.100000000000001" customHeight="1" x14ac:dyDescent="0.25">
      <c r="B21" s="56">
        <f t="shared" ref="B21:B27" si="1">MAX(B19:B20)+1</f>
        <v>6</v>
      </c>
      <c r="C21" s="68" t="s">
        <v>154</v>
      </c>
      <c r="D21" s="23" t="s">
        <v>10</v>
      </c>
      <c r="E21" s="26">
        <v>45202</v>
      </c>
      <c r="F21" s="23" t="s">
        <v>52</v>
      </c>
      <c r="G21" s="26">
        <v>45197</v>
      </c>
      <c r="H21" s="26">
        <v>45202</v>
      </c>
      <c r="I21" s="23" t="s">
        <v>10</v>
      </c>
      <c r="J21" s="26"/>
      <c r="K21" s="26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1"/>
    </row>
    <row r="22" spans="1:32" ht="20.100000000000001" customHeight="1" x14ac:dyDescent="0.25">
      <c r="B22" s="56">
        <f t="shared" si="1"/>
        <v>7</v>
      </c>
      <c r="C22" s="69" t="s">
        <v>150</v>
      </c>
      <c r="D22" s="23" t="s">
        <v>10</v>
      </c>
      <c r="E22" s="26">
        <v>45187</v>
      </c>
      <c r="F22" s="23" t="s">
        <v>50</v>
      </c>
      <c r="G22" s="26">
        <v>45181</v>
      </c>
      <c r="H22" s="26">
        <v>45187</v>
      </c>
      <c r="I22" s="23" t="s">
        <v>10</v>
      </c>
      <c r="J22" s="62"/>
      <c r="K22" s="62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2"/>
    </row>
    <row r="23" spans="1:32" ht="20.100000000000001" customHeight="1" x14ac:dyDescent="0.25">
      <c r="B23" s="56">
        <f t="shared" si="1"/>
        <v>8</v>
      </c>
      <c r="C23" s="68" t="s">
        <v>151</v>
      </c>
      <c r="D23" s="23" t="s">
        <v>10</v>
      </c>
      <c r="E23" s="26">
        <v>45187</v>
      </c>
      <c r="F23" s="23" t="s">
        <v>45</v>
      </c>
      <c r="G23" s="26">
        <v>45170</v>
      </c>
      <c r="H23" s="26">
        <v>45174</v>
      </c>
      <c r="I23" s="23" t="s">
        <v>10</v>
      </c>
      <c r="J23" s="26">
        <v>45181</v>
      </c>
      <c r="K23" s="26">
        <v>45187</v>
      </c>
      <c r="L23" s="23" t="s">
        <v>10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1"/>
    </row>
    <row r="24" spans="1:32" ht="20.100000000000001" customHeight="1" x14ac:dyDescent="0.25">
      <c r="B24" s="56">
        <f t="shared" si="1"/>
        <v>9</v>
      </c>
      <c r="C24" s="70" t="s">
        <v>157</v>
      </c>
      <c r="D24" s="59" t="s">
        <v>10</v>
      </c>
      <c r="E24" s="60">
        <v>45187</v>
      </c>
      <c r="F24" s="59" t="s">
        <v>37</v>
      </c>
      <c r="G24" s="60">
        <v>45182</v>
      </c>
      <c r="H24" s="60">
        <v>45187</v>
      </c>
      <c r="I24" s="59" t="s">
        <v>10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61"/>
    </row>
    <row r="25" spans="1:32" ht="20.100000000000001" customHeight="1" x14ac:dyDescent="0.25">
      <c r="B25" s="56">
        <f t="shared" si="1"/>
        <v>10</v>
      </c>
      <c r="C25" s="68" t="s">
        <v>152</v>
      </c>
      <c r="D25" s="23" t="s">
        <v>10</v>
      </c>
      <c r="E25" s="26">
        <v>45187</v>
      </c>
      <c r="F25" s="23" t="s">
        <v>46</v>
      </c>
      <c r="G25" s="26">
        <v>45181</v>
      </c>
      <c r="H25" s="26">
        <v>45187</v>
      </c>
      <c r="I25" s="23" t="s">
        <v>10</v>
      </c>
      <c r="J25" s="26"/>
      <c r="K25" s="26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1"/>
    </row>
    <row r="26" spans="1:32" ht="20.100000000000001" customHeight="1" x14ac:dyDescent="0.25">
      <c r="B26" s="56">
        <f t="shared" si="1"/>
        <v>11</v>
      </c>
      <c r="C26" s="68" t="s">
        <v>96</v>
      </c>
      <c r="D26" s="23" t="s">
        <v>10</v>
      </c>
      <c r="E26" s="26">
        <v>45187</v>
      </c>
      <c r="F26" s="23" t="s">
        <v>49</v>
      </c>
      <c r="G26" s="26">
        <v>45181</v>
      </c>
      <c r="H26" s="26">
        <v>45187</v>
      </c>
      <c r="I26" s="23" t="s">
        <v>10</v>
      </c>
      <c r="J26" s="26"/>
      <c r="K26" s="26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1"/>
    </row>
    <row r="27" spans="1:32" ht="20.100000000000001" customHeight="1" x14ac:dyDescent="0.25">
      <c r="B27" s="56">
        <f t="shared" si="1"/>
        <v>12</v>
      </c>
      <c r="C27" s="68" t="s">
        <v>155</v>
      </c>
      <c r="D27" s="23" t="s">
        <v>10</v>
      </c>
      <c r="E27" s="26">
        <v>45187</v>
      </c>
      <c r="F27" s="23" t="s">
        <v>47</v>
      </c>
      <c r="G27" s="26">
        <v>45182</v>
      </c>
      <c r="H27" s="26">
        <v>45187</v>
      </c>
      <c r="I27" s="23" t="s">
        <v>10</v>
      </c>
      <c r="J27" s="26"/>
      <c r="K27" s="26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1"/>
    </row>
    <row r="28" spans="1:32" ht="20.100000000000001" customHeight="1" x14ac:dyDescent="0.25">
      <c r="B28" s="56">
        <f>MAX(B26:B27)+1</f>
        <v>13</v>
      </c>
      <c r="C28" s="68" t="s">
        <v>153</v>
      </c>
      <c r="D28" s="23" t="s">
        <v>10</v>
      </c>
      <c r="E28" s="26">
        <v>45202</v>
      </c>
      <c r="F28" s="23" t="s">
        <v>51</v>
      </c>
      <c r="G28" s="26">
        <v>45197</v>
      </c>
      <c r="H28" s="26">
        <v>45202</v>
      </c>
      <c r="I28" s="23" t="s">
        <v>10</v>
      </c>
      <c r="J28" s="26"/>
      <c r="K28" s="26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1"/>
    </row>
    <row r="29" spans="1:32" ht="20.100000000000001" customHeight="1" x14ac:dyDescent="0.25">
      <c r="B29" s="190" t="s">
        <v>1</v>
      </c>
      <c r="C29" s="188" t="s">
        <v>21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4"/>
    </row>
    <row r="30" spans="1:32" ht="20.100000000000001" customHeight="1" x14ac:dyDescent="0.25">
      <c r="B30" s="56">
        <f>MAX(B28:B29)+1</f>
        <v>14</v>
      </c>
      <c r="C30" s="71" t="s">
        <v>438</v>
      </c>
      <c r="D30" s="23" t="s">
        <v>8</v>
      </c>
      <c r="E30" s="27">
        <v>45150</v>
      </c>
      <c r="F30" s="23" t="s">
        <v>39</v>
      </c>
      <c r="G30" s="27">
        <v>45143</v>
      </c>
      <c r="H30" s="27">
        <v>45147</v>
      </c>
      <c r="I30" s="166" t="s">
        <v>9</v>
      </c>
      <c r="J30" s="27">
        <v>45149</v>
      </c>
      <c r="K30" s="27">
        <v>45150</v>
      </c>
      <c r="L30" s="23" t="s">
        <v>8</v>
      </c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1"/>
    </row>
    <row r="31" spans="1:32" ht="15" x14ac:dyDescent="0.25">
      <c r="B31" s="56">
        <f>MAX(B27:B30)+1</f>
        <v>15</v>
      </c>
      <c r="C31" s="71" t="s">
        <v>456</v>
      </c>
      <c r="D31" s="23" t="s">
        <v>9</v>
      </c>
      <c r="E31" s="27">
        <v>45205</v>
      </c>
      <c r="F31" s="23" t="s">
        <v>56</v>
      </c>
      <c r="G31" s="26">
        <v>45188</v>
      </c>
      <c r="H31" s="26">
        <v>45189</v>
      </c>
      <c r="I31" s="23" t="s">
        <v>10</v>
      </c>
      <c r="J31" s="27">
        <v>45196</v>
      </c>
      <c r="K31" s="27">
        <v>45205</v>
      </c>
      <c r="L31" s="166" t="s">
        <v>9</v>
      </c>
      <c r="M31" s="26"/>
      <c r="N31" s="26"/>
      <c r="O31" s="23"/>
      <c r="P31" s="23"/>
      <c r="Q31" s="23"/>
      <c r="R31" s="23"/>
      <c r="S31" s="23"/>
      <c r="T31" s="23"/>
      <c r="U31" s="23"/>
      <c r="V31" s="23"/>
      <c r="W31" s="21"/>
    </row>
    <row r="32" spans="1:32" ht="20.100000000000001" customHeight="1" x14ac:dyDescent="0.25">
      <c r="B32" s="56">
        <f>MAX(B30:B31)+1</f>
        <v>16</v>
      </c>
      <c r="C32" s="71" t="s">
        <v>431</v>
      </c>
      <c r="D32" s="120" t="s">
        <v>9</v>
      </c>
      <c r="E32" s="26">
        <v>45209</v>
      </c>
      <c r="F32" s="23" t="s">
        <v>97</v>
      </c>
      <c r="G32" s="26">
        <v>45206</v>
      </c>
      <c r="H32" s="26">
        <v>45209</v>
      </c>
      <c r="I32" s="166" t="s">
        <v>9</v>
      </c>
      <c r="J32" s="27"/>
      <c r="K32" s="27"/>
      <c r="L32" s="23"/>
      <c r="M32" s="26"/>
      <c r="N32" s="26"/>
      <c r="O32" s="23"/>
      <c r="P32" s="23"/>
      <c r="Q32" s="23"/>
      <c r="R32" s="23"/>
      <c r="S32" s="23"/>
      <c r="T32" s="23"/>
      <c r="U32" s="23"/>
      <c r="V32" s="23"/>
      <c r="W32" s="21"/>
    </row>
    <row r="33" spans="1:23" ht="20.100000000000001" customHeight="1" x14ac:dyDescent="0.25">
      <c r="B33" s="56">
        <f>MAX(B30:B32)+1</f>
        <v>17</v>
      </c>
      <c r="C33" s="71" t="s">
        <v>432</v>
      </c>
      <c r="D33" s="23" t="s">
        <v>10</v>
      </c>
      <c r="E33" s="26">
        <v>45209</v>
      </c>
      <c r="F33" s="23" t="s">
        <v>98</v>
      </c>
      <c r="G33" s="26">
        <v>45206</v>
      </c>
      <c r="H33" s="26">
        <v>45209</v>
      </c>
      <c r="I33" s="23" t="s">
        <v>10</v>
      </c>
      <c r="J33" s="27"/>
      <c r="K33" s="27"/>
      <c r="L33" s="23"/>
      <c r="M33" s="26"/>
      <c r="N33" s="26"/>
      <c r="O33" s="23"/>
      <c r="P33" s="23"/>
      <c r="Q33" s="23"/>
      <c r="R33" s="23"/>
      <c r="S33" s="23"/>
      <c r="T33" s="23"/>
      <c r="U33" s="23"/>
      <c r="V33" s="23"/>
      <c r="W33" s="21"/>
    </row>
    <row r="34" spans="1:23" ht="20.100000000000001" customHeight="1" x14ac:dyDescent="0.25">
      <c r="B34" s="56">
        <f t="shared" ref="B34:B40" si="2">MAX(B31:B33)+1</f>
        <v>18</v>
      </c>
      <c r="C34" s="71" t="s">
        <v>453</v>
      </c>
      <c r="D34" s="23" t="s">
        <v>8</v>
      </c>
      <c r="E34" s="27">
        <v>45168</v>
      </c>
      <c r="F34" s="23" t="s">
        <v>42</v>
      </c>
      <c r="G34" s="27">
        <v>45155</v>
      </c>
      <c r="H34" s="27">
        <v>45156</v>
      </c>
      <c r="I34" s="23" t="s">
        <v>10</v>
      </c>
      <c r="J34" s="27">
        <v>45162</v>
      </c>
      <c r="K34" s="27">
        <v>45168</v>
      </c>
      <c r="L34" s="23" t="s">
        <v>10</v>
      </c>
      <c r="M34" s="27">
        <v>45540</v>
      </c>
      <c r="N34" s="27">
        <v>45554</v>
      </c>
      <c r="O34" s="23" t="s">
        <v>8</v>
      </c>
      <c r="P34" s="23"/>
      <c r="Q34" s="23"/>
      <c r="R34" s="23"/>
      <c r="S34" s="23"/>
      <c r="T34" s="23"/>
      <c r="U34" s="23"/>
      <c r="V34" s="23"/>
      <c r="W34" s="21"/>
    </row>
    <row r="35" spans="1:23" ht="20.100000000000001" customHeight="1" x14ac:dyDescent="0.25">
      <c r="B35" s="56">
        <f t="shared" si="2"/>
        <v>19</v>
      </c>
      <c r="C35" s="71" t="s">
        <v>481</v>
      </c>
      <c r="D35" s="23" t="s">
        <v>8</v>
      </c>
      <c r="E35" s="27">
        <v>45160</v>
      </c>
      <c r="F35" s="23" t="s">
        <v>41</v>
      </c>
      <c r="G35" s="27">
        <v>45149</v>
      </c>
      <c r="H35" s="27">
        <v>45150</v>
      </c>
      <c r="I35" s="166" t="s">
        <v>9</v>
      </c>
      <c r="J35" s="27">
        <v>45159</v>
      </c>
      <c r="K35" s="27">
        <v>45160</v>
      </c>
      <c r="L35" s="23" t="s">
        <v>8</v>
      </c>
      <c r="M35" s="27">
        <v>45540</v>
      </c>
      <c r="N35" s="27">
        <v>45552</v>
      </c>
      <c r="O35" s="23" t="s">
        <v>9</v>
      </c>
      <c r="P35" s="27">
        <v>45573</v>
      </c>
      <c r="Q35" s="27">
        <v>45582</v>
      </c>
      <c r="R35" s="166" t="s">
        <v>8</v>
      </c>
      <c r="S35" s="21"/>
      <c r="T35" s="21"/>
      <c r="U35" s="21"/>
      <c r="V35" s="21"/>
      <c r="W35" s="21"/>
    </row>
    <row r="36" spans="1:23" ht="20.100000000000001" customHeight="1" x14ac:dyDescent="0.25">
      <c r="B36" s="56">
        <f t="shared" si="2"/>
        <v>20</v>
      </c>
      <c r="C36" s="71" t="s">
        <v>449</v>
      </c>
      <c r="D36" s="23" t="s">
        <v>8</v>
      </c>
      <c r="E36" s="26">
        <v>45189</v>
      </c>
      <c r="F36" s="23" t="s">
        <v>58</v>
      </c>
      <c r="G36" s="26">
        <v>45188</v>
      </c>
      <c r="H36" s="26">
        <v>45189</v>
      </c>
      <c r="I36" s="23" t="s">
        <v>10</v>
      </c>
      <c r="J36" s="27">
        <v>45196</v>
      </c>
      <c r="K36" s="27"/>
      <c r="L36" s="23" t="s">
        <v>9</v>
      </c>
      <c r="M36" s="27">
        <v>45541</v>
      </c>
      <c r="N36" s="27">
        <v>45554</v>
      </c>
      <c r="O36" s="23" t="s">
        <v>8</v>
      </c>
      <c r="P36" s="23"/>
      <c r="Q36" s="23"/>
      <c r="R36" s="23"/>
      <c r="S36" s="23"/>
      <c r="T36" s="23"/>
      <c r="U36" s="23"/>
      <c r="V36" s="23"/>
      <c r="W36" s="21"/>
    </row>
    <row r="37" spans="1:23" ht="20.100000000000001" customHeight="1" x14ac:dyDescent="0.25">
      <c r="B37" s="56">
        <f t="shared" si="2"/>
        <v>21</v>
      </c>
      <c r="C37" s="71" t="s">
        <v>451</v>
      </c>
      <c r="D37" s="166" t="s">
        <v>8</v>
      </c>
      <c r="E37" s="26">
        <v>45197</v>
      </c>
      <c r="F37" s="23" t="s">
        <v>57</v>
      </c>
      <c r="G37" s="26">
        <v>45188</v>
      </c>
      <c r="H37" s="26">
        <v>45189</v>
      </c>
      <c r="I37" s="166" t="s">
        <v>9</v>
      </c>
      <c r="J37" s="26">
        <v>45196</v>
      </c>
      <c r="K37" s="26">
        <v>45197</v>
      </c>
      <c r="L37" s="23" t="s">
        <v>9</v>
      </c>
      <c r="M37" s="27">
        <v>45540</v>
      </c>
      <c r="N37" s="27">
        <v>45552</v>
      </c>
      <c r="O37" s="23" t="s">
        <v>9</v>
      </c>
      <c r="P37" s="27">
        <v>45573</v>
      </c>
      <c r="Q37" s="27">
        <v>45582</v>
      </c>
      <c r="R37" s="166" t="s">
        <v>8</v>
      </c>
      <c r="S37" s="23"/>
      <c r="T37" s="23"/>
      <c r="U37" s="23"/>
      <c r="V37" s="23"/>
      <c r="W37" s="21"/>
    </row>
    <row r="38" spans="1:23" ht="20.100000000000001" customHeight="1" x14ac:dyDescent="0.25">
      <c r="B38" s="56">
        <f t="shared" si="2"/>
        <v>22</v>
      </c>
      <c r="C38" s="71" t="s">
        <v>439</v>
      </c>
      <c r="D38" s="166" t="s">
        <v>9</v>
      </c>
      <c r="E38" s="27">
        <v>45187</v>
      </c>
      <c r="F38" s="23" t="s">
        <v>48</v>
      </c>
      <c r="G38" s="27">
        <v>45180</v>
      </c>
      <c r="H38" s="27">
        <v>45187</v>
      </c>
      <c r="I38" s="166" t="s">
        <v>9</v>
      </c>
      <c r="J38" s="26"/>
      <c r="K38" s="26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1"/>
    </row>
    <row r="39" spans="1:23" ht="20.100000000000001" customHeight="1" x14ac:dyDescent="0.25">
      <c r="B39" s="56">
        <f t="shared" si="2"/>
        <v>23</v>
      </c>
      <c r="C39" s="71" t="s">
        <v>446</v>
      </c>
      <c r="D39" s="166" t="s">
        <v>8</v>
      </c>
      <c r="E39" s="26">
        <v>45197</v>
      </c>
      <c r="F39" s="23" t="s">
        <v>38</v>
      </c>
      <c r="G39" s="27">
        <v>45188</v>
      </c>
      <c r="H39" s="27">
        <v>45189</v>
      </c>
      <c r="I39" s="23" t="s">
        <v>10</v>
      </c>
      <c r="J39" s="26">
        <v>45196</v>
      </c>
      <c r="K39" s="26">
        <v>45197</v>
      </c>
      <c r="L39" s="166" t="s">
        <v>9</v>
      </c>
      <c r="M39" s="27">
        <v>45540</v>
      </c>
      <c r="N39" s="27">
        <v>45552</v>
      </c>
      <c r="O39" s="23" t="s">
        <v>8</v>
      </c>
      <c r="P39" s="23"/>
      <c r="Q39" s="23"/>
      <c r="R39" s="23"/>
      <c r="S39" s="23"/>
      <c r="T39" s="23"/>
      <c r="U39" s="23"/>
      <c r="V39" s="23"/>
      <c r="W39" s="21"/>
    </row>
    <row r="40" spans="1:23" ht="20.100000000000001" customHeight="1" x14ac:dyDescent="0.25">
      <c r="B40" s="56">
        <f t="shared" si="2"/>
        <v>24</v>
      </c>
      <c r="C40" s="71" t="s">
        <v>452</v>
      </c>
      <c r="D40" s="23" t="s">
        <v>10</v>
      </c>
      <c r="E40" s="26">
        <v>45148</v>
      </c>
      <c r="F40" s="23" t="s">
        <v>40</v>
      </c>
      <c r="G40" s="27">
        <v>45089</v>
      </c>
      <c r="H40" s="27">
        <v>45106</v>
      </c>
      <c r="I40" s="23" t="s">
        <v>10</v>
      </c>
      <c r="J40" s="27">
        <v>45119</v>
      </c>
      <c r="K40" s="26">
        <v>45197</v>
      </c>
      <c r="L40" s="23" t="s">
        <v>10</v>
      </c>
      <c r="M40" s="27">
        <v>45133</v>
      </c>
      <c r="N40" s="27">
        <v>45133</v>
      </c>
      <c r="O40" s="23" t="s">
        <v>10</v>
      </c>
      <c r="P40" s="26">
        <v>45147</v>
      </c>
      <c r="Q40" s="26">
        <v>45148</v>
      </c>
      <c r="R40" s="23" t="s">
        <v>10</v>
      </c>
      <c r="S40" s="23"/>
      <c r="T40" s="23"/>
      <c r="U40" s="23"/>
      <c r="V40" s="23"/>
      <c r="W40" s="21"/>
    </row>
    <row r="41" spans="1:23" ht="20.100000000000001" customHeight="1" x14ac:dyDescent="0.25">
      <c r="B41" s="56">
        <f t="shared" ref="B41" si="3">MAX(B39:B40)+1</f>
        <v>25</v>
      </c>
      <c r="C41" s="71" t="s">
        <v>454</v>
      </c>
      <c r="D41" s="23" t="s">
        <v>9</v>
      </c>
      <c r="E41" s="26">
        <v>45170</v>
      </c>
      <c r="F41" s="23" t="s">
        <v>44</v>
      </c>
      <c r="G41" s="27">
        <v>45162</v>
      </c>
      <c r="H41" s="27">
        <v>45168</v>
      </c>
      <c r="I41" s="23" t="s">
        <v>10</v>
      </c>
      <c r="J41" s="26">
        <v>45169</v>
      </c>
      <c r="K41" s="26">
        <v>45170</v>
      </c>
      <c r="L41" s="166" t="s">
        <v>9</v>
      </c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1"/>
    </row>
    <row r="42" spans="1:23" s="152" customFormat="1" ht="20.100000000000001" customHeight="1" x14ac:dyDescent="0.25">
      <c r="A42" s="174"/>
      <c r="B42" s="191" t="s">
        <v>143</v>
      </c>
      <c r="C42" s="135" t="s">
        <v>22</v>
      </c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7"/>
      <c r="V42" s="137"/>
      <c r="W42" s="137"/>
    </row>
    <row r="43" spans="1:23" ht="20.100000000000001" customHeight="1" x14ac:dyDescent="0.25">
      <c r="B43" s="56">
        <f>MAX(B41:B42)+1</f>
        <v>26</v>
      </c>
      <c r="C43" s="71" t="s">
        <v>156</v>
      </c>
      <c r="D43" s="23" t="s">
        <v>10</v>
      </c>
      <c r="E43" s="26">
        <v>45202</v>
      </c>
      <c r="F43" s="23" t="s">
        <v>55</v>
      </c>
      <c r="G43" s="26">
        <v>45197</v>
      </c>
      <c r="H43" s="26">
        <v>45202</v>
      </c>
      <c r="I43" s="23" t="s">
        <v>10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9"/>
    </row>
    <row r="44" spans="1:23" ht="20.100000000000001" customHeight="1" x14ac:dyDescent="0.25">
      <c r="B44" s="192" t="s">
        <v>10</v>
      </c>
      <c r="C44" s="67" t="s">
        <v>15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8"/>
    </row>
    <row r="45" spans="1:23" s="152" customFormat="1" ht="20.100000000000001" customHeight="1" x14ac:dyDescent="0.25">
      <c r="A45" s="174"/>
      <c r="B45" s="193" t="s">
        <v>0</v>
      </c>
      <c r="C45" s="135" t="s">
        <v>20</v>
      </c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7"/>
      <c r="V45" s="137"/>
      <c r="W45" s="137"/>
    </row>
    <row r="46" spans="1:23" ht="20.100000000000001" customHeight="1" x14ac:dyDescent="0.25">
      <c r="B46" s="56">
        <f t="shared" ref="B46:B53" si="4">MAX(B43:B45)+1</f>
        <v>27</v>
      </c>
      <c r="C46" s="71" t="s">
        <v>159</v>
      </c>
      <c r="D46" s="166" t="s">
        <v>9</v>
      </c>
      <c r="E46" s="26">
        <v>45243</v>
      </c>
      <c r="F46" s="23" t="s">
        <v>100</v>
      </c>
      <c r="G46" s="26">
        <v>45206</v>
      </c>
      <c r="H46" s="26">
        <v>45225</v>
      </c>
      <c r="I46" s="23" t="s">
        <v>10</v>
      </c>
      <c r="J46" s="26">
        <v>45234</v>
      </c>
      <c r="K46" s="26">
        <v>45243</v>
      </c>
      <c r="L46" s="166" t="s">
        <v>9</v>
      </c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1"/>
    </row>
    <row r="47" spans="1:23" ht="20.100000000000001" customHeight="1" x14ac:dyDescent="0.25">
      <c r="B47" s="56">
        <f t="shared" si="4"/>
        <v>28</v>
      </c>
      <c r="C47" s="71" t="s">
        <v>158</v>
      </c>
      <c r="D47" s="23" t="s">
        <v>10</v>
      </c>
      <c r="E47" s="26">
        <v>45243</v>
      </c>
      <c r="F47" s="23" t="s">
        <v>99</v>
      </c>
      <c r="G47" s="26">
        <v>45206</v>
      </c>
      <c r="H47" s="26">
        <v>45225</v>
      </c>
      <c r="I47" s="23" t="s">
        <v>10</v>
      </c>
      <c r="J47" s="26">
        <v>45234</v>
      </c>
      <c r="K47" s="26">
        <v>45243</v>
      </c>
      <c r="L47" s="23" t="s">
        <v>10</v>
      </c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1"/>
    </row>
    <row r="48" spans="1:23" ht="20.100000000000001" customHeight="1" x14ac:dyDescent="0.25">
      <c r="B48" s="56">
        <f t="shared" si="4"/>
        <v>29</v>
      </c>
      <c r="C48" s="68" t="s">
        <v>165</v>
      </c>
      <c r="D48" s="23" t="s">
        <v>10</v>
      </c>
      <c r="E48" s="26">
        <v>45243</v>
      </c>
      <c r="F48" s="23" t="s">
        <v>107</v>
      </c>
      <c r="G48" s="26">
        <v>45234</v>
      </c>
      <c r="H48" s="26">
        <v>45243</v>
      </c>
      <c r="I48" s="23" t="s">
        <v>10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1"/>
    </row>
    <row r="49" spans="1:23" ht="20.100000000000001" customHeight="1" x14ac:dyDescent="0.25">
      <c r="B49" s="56">
        <f t="shared" si="4"/>
        <v>30</v>
      </c>
      <c r="C49" s="71" t="s">
        <v>162</v>
      </c>
      <c r="D49" s="23" t="s">
        <v>10</v>
      </c>
      <c r="E49" s="26">
        <v>45243</v>
      </c>
      <c r="F49" s="23" t="s">
        <v>108</v>
      </c>
      <c r="G49" s="26">
        <v>45234</v>
      </c>
      <c r="H49" s="26">
        <v>45243</v>
      </c>
      <c r="I49" s="23" t="s">
        <v>10</v>
      </c>
      <c r="J49" s="26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1"/>
    </row>
    <row r="50" spans="1:23" ht="20.100000000000001" customHeight="1" x14ac:dyDescent="0.25">
      <c r="B50" s="56">
        <f t="shared" si="4"/>
        <v>31</v>
      </c>
      <c r="C50" s="71" t="s">
        <v>163</v>
      </c>
      <c r="D50" s="23" t="s">
        <v>10</v>
      </c>
      <c r="E50" s="26">
        <v>45243</v>
      </c>
      <c r="F50" s="23" t="s">
        <v>111</v>
      </c>
      <c r="G50" s="26">
        <v>45234</v>
      </c>
      <c r="H50" s="26">
        <v>45243</v>
      </c>
      <c r="I50" s="23" t="s">
        <v>10</v>
      </c>
      <c r="J50" s="26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1"/>
    </row>
    <row r="51" spans="1:23" ht="20.100000000000001" customHeight="1" x14ac:dyDescent="0.25">
      <c r="B51" s="56">
        <f t="shared" si="4"/>
        <v>32</v>
      </c>
      <c r="C51" s="71" t="s">
        <v>160</v>
      </c>
      <c r="D51" s="23" t="s">
        <v>10</v>
      </c>
      <c r="E51" s="26">
        <v>45243</v>
      </c>
      <c r="F51" s="23" t="s">
        <v>106</v>
      </c>
      <c r="G51" s="26">
        <v>45234</v>
      </c>
      <c r="H51" s="26">
        <v>45243</v>
      </c>
      <c r="I51" s="23" t="s">
        <v>10</v>
      </c>
      <c r="J51" s="26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1"/>
    </row>
    <row r="52" spans="1:23" ht="20.100000000000001" customHeight="1" x14ac:dyDescent="0.25">
      <c r="B52" s="56">
        <f t="shared" si="4"/>
        <v>33</v>
      </c>
      <c r="C52" s="71" t="s">
        <v>164</v>
      </c>
      <c r="D52" s="166" t="s">
        <v>9</v>
      </c>
      <c r="E52" s="26">
        <v>45243</v>
      </c>
      <c r="F52" s="23" t="s">
        <v>105</v>
      </c>
      <c r="G52" s="26">
        <v>45234</v>
      </c>
      <c r="H52" s="26">
        <v>45243</v>
      </c>
      <c r="I52" s="166" t="s">
        <v>9</v>
      </c>
      <c r="J52" s="26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1"/>
    </row>
    <row r="53" spans="1:23" ht="20.100000000000001" customHeight="1" x14ac:dyDescent="0.25">
      <c r="B53" s="56">
        <f t="shared" si="4"/>
        <v>34</v>
      </c>
      <c r="C53" s="71" t="s">
        <v>161</v>
      </c>
      <c r="D53" s="166" t="s">
        <v>9</v>
      </c>
      <c r="E53" s="26">
        <v>45243</v>
      </c>
      <c r="F53" s="23" t="s">
        <v>109</v>
      </c>
      <c r="G53" s="26">
        <v>45234</v>
      </c>
      <c r="H53" s="26">
        <v>45243</v>
      </c>
      <c r="I53" s="166" t="s">
        <v>9</v>
      </c>
      <c r="J53" s="26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1"/>
    </row>
    <row r="54" spans="1:23" ht="20.100000000000001" customHeight="1" x14ac:dyDescent="0.25">
      <c r="B54" s="190" t="s">
        <v>1</v>
      </c>
      <c r="C54" s="188" t="s">
        <v>21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4"/>
    </row>
    <row r="55" spans="1:23" ht="20.100000000000001" customHeight="1" x14ac:dyDescent="0.25">
      <c r="B55" s="56">
        <f>MAX(B53:B54)+1</f>
        <v>35</v>
      </c>
      <c r="C55" s="68" t="s">
        <v>440</v>
      </c>
      <c r="D55" s="23" t="s">
        <v>9</v>
      </c>
      <c r="E55" s="26">
        <v>45541</v>
      </c>
      <c r="F55" s="23" t="s">
        <v>101</v>
      </c>
      <c r="G55" s="26">
        <v>45234</v>
      </c>
      <c r="H55" s="26">
        <v>45238</v>
      </c>
      <c r="I55" s="166" t="s">
        <v>9</v>
      </c>
      <c r="J55" s="26">
        <v>45541</v>
      </c>
      <c r="K55" s="26">
        <v>45582</v>
      </c>
      <c r="L55" s="23" t="s">
        <v>9</v>
      </c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1"/>
    </row>
    <row r="56" spans="1:23" ht="20.100000000000001" customHeight="1" x14ac:dyDescent="0.25">
      <c r="B56" s="56">
        <f t="shared" ref="B56:B62" si="5">MAX(B54:B55)+1</f>
        <v>36</v>
      </c>
      <c r="C56" s="71" t="s">
        <v>428</v>
      </c>
      <c r="D56" s="23" t="s">
        <v>8</v>
      </c>
      <c r="E56" s="26">
        <v>45541</v>
      </c>
      <c r="F56" s="23" t="s">
        <v>102</v>
      </c>
      <c r="G56" s="26">
        <v>45234</v>
      </c>
      <c r="H56" s="26">
        <v>45238</v>
      </c>
      <c r="I56" s="166" t="s">
        <v>9</v>
      </c>
      <c r="J56" s="26">
        <v>45541</v>
      </c>
      <c r="K56" s="26">
        <v>45582</v>
      </c>
      <c r="L56" s="23" t="s">
        <v>8</v>
      </c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1"/>
    </row>
    <row r="57" spans="1:23" ht="20.100000000000001" customHeight="1" x14ac:dyDescent="0.25">
      <c r="B57" s="56">
        <f t="shared" si="5"/>
        <v>37</v>
      </c>
      <c r="C57" s="71" t="s">
        <v>435</v>
      </c>
      <c r="D57" s="23" t="s">
        <v>8</v>
      </c>
      <c r="E57" s="26">
        <v>45541</v>
      </c>
      <c r="F57" s="23" t="s">
        <v>103</v>
      </c>
      <c r="G57" s="26">
        <v>45234</v>
      </c>
      <c r="H57" s="26">
        <v>45238</v>
      </c>
      <c r="I57" s="23" t="s">
        <v>10</v>
      </c>
      <c r="J57" s="26">
        <v>45541</v>
      </c>
      <c r="K57" s="26">
        <v>45582</v>
      </c>
      <c r="L57" s="23" t="s">
        <v>8</v>
      </c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1"/>
    </row>
    <row r="58" spans="1:23" ht="20.100000000000001" customHeight="1" x14ac:dyDescent="0.25">
      <c r="B58" s="56">
        <f t="shared" si="5"/>
        <v>38</v>
      </c>
      <c r="C58" s="71" t="s">
        <v>480</v>
      </c>
      <c r="D58" s="23" t="s">
        <v>8</v>
      </c>
      <c r="E58" s="26">
        <v>45541</v>
      </c>
      <c r="F58" s="23" t="s">
        <v>104</v>
      </c>
      <c r="G58" s="26">
        <v>45234</v>
      </c>
      <c r="H58" s="26">
        <v>45238</v>
      </c>
      <c r="I58" s="23" t="s">
        <v>10</v>
      </c>
      <c r="J58" s="26">
        <v>45541</v>
      </c>
      <c r="K58" s="26">
        <v>45582</v>
      </c>
      <c r="L58" s="23" t="s">
        <v>8</v>
      </c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1"/>
    </row>
    <row r="59" spans="1:23" s="152" customFormat="1" ht="20.100000000000001" customHeight="1" x14ac:dyDescent="0.25">
      <c r="A59" s="174"/>
      <c r="B59" s="191" t="s">
        <v>143</v>
      </c>
      <c r="C59" s="135" t="s">
        <v>22</v>
      </c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7"/>
      <c r="V59" s="137"/>
      <c r="W59" s="137"/>
    </row>
    <row r="60" spans="1:23" s="152" customFormat="1" ht="20.100000000000001" customHeight="1" x14ac:dyDescent="0.25">
      <c r="A60" s="174"/>
      <c r="B60" s="56">
        <f t="shared" si="5"/>
        <v>39</v>
      </c>
      <c r="C60" s="170" t="s">
        <v>459</v>
      </c>
      <c r="D60" s="23" t="s">
        <v>9</v>
      </c>
      <c r="E60" s="26">
        <v>45576</v>
      </c>
      <c r="F60" s="23" t="s">
        <v>460</v>
      </c>
      <c r="G60" s="26">
        <v>45576</v>
      </c>
      <c r="H60" s="26">
        <v>45582</v>
      </c>
      <c r="I60" s="23" t="s">
        <v>9</v>
      </c>
      <c r="J60" s="26">
        <v>45608</v>
      </c>
      <c r="K60" s="26">
        <v>45617</v>
      </c>
      <c r="L60" s="23" t="s">
        <v>9</v>
      </c>
      <c r="M60" s="207"/>
      <c r="N60" s="207"/>
      <c r="O60" s="207"/>
      <c r="P60" s="207"/>
      <c r="Q60" s="207"/>
      <c r="R60" s="207"/>
      <c r="S60" s="207"/>
      <c r="T60" s="207"/>
      <c r="U60" s="208"/>
      <c r="V60" s="208"/>
      <c r="W60" s="208"/>
    </row>
    <row r="61" spans="1:23" s="152" customFormat="1" ht="20.100000000000001" customHeight="1" x14ac:dyDescent="0.25">
      <c r="A61" s="174"/>
      <c r="B61" s="56">
        <f t="shared" si="5"/>
        <v>40</v>
      </c>
      <c r="C61" s="170" t="s">
        <v>461</v>
      </c>
      <c r="D61" s="23" t="s">
        <v>8</v>
      </c>
      <c r="E61" s="26">
        <v>45576</v>
      </c>
      <c r="F61" s="23" t="s">
        <v>462</v>
      </c>
      <c r="G61" s="26">
        <v>45576</v>
      </c>
      <c r="H61" s="26">
        <v>45582</v>
      </c>
      <c r="I61" s="23" t="s">
        <v>8</v>
      </c>
      <c r="J61" s="26"/>
      <c r="K61" s="26"/>
      <c r="L61" s="23"/>
      <c r="M61" s="207"/>
      <c r="N61" s="207"/>
      <c r="O61" s="207"/>
      <c r="P61" s="207"/>
      <c r="Q61" s="207"/>
      <c r="R61" s="207"/>
      <c r="S61" s="207"/>
      <c r="T61" s="207"/>
      <c r="U61" s="208"/>
      <c r="V61" s="208"/>
      <c r="W61" s="208"/>
    </row>
    <row r="62" spans="1:23" s="152" customFormat="1" ht="20.100000000000001" customHeight="1" x14ac:dyDescent="0.25">
      <c r="A62" s="174"/>
      <c r="B62" s="56">
        <f t="shared" si="5"/>
        <v>41</v>
      </c>
      <c r="C62" s="170" t="s">
        <v>476</v>
      </c>
      <c r="D62" s="23" t="s">
        <v>9</v>
      </c>
      <c r="E62" s="26">
        <v>45581</v>
      </c>
      <c r="F62" s="23" t="s">
        <v>477</v>
      </c>
      <c r="G62" s="26">
        <v>45581</v>
      </c>
      <c r="H62" s="26">
        <v>45582</v>
      </c>
      <c r="I62" s="23" t="s">
        <v>9</v>
      </c>
      <c r="J62" s="26">
        <v>45608</v>
      </c>
      <c r="K62" s="26">
        <v>45617</v>
      </c>
      <c r="L62" s="23" t="s">
        <v>9</v>
      </c>
      <c r="M62" s="207"/>
      <c r="N62" s="207"/>
      <c r="O62" s="207"/>
      <c r="P62" s="207"/>
      <c r="Q62" s="207"/>
      <c r="R62" s="207"/>
      <c r="S62" s="207"/>
      <c r="T62" s="207"/>
      <c r="U62" s="208"/>
      <c r="V62" s="208"/>
      <c r="W62" s="208"/>
    </row>
    <row r="63" spans="1:23" ht="20.100000000000001" customHeight="1" x14ac:dyDescent="0.25">
      <c r="B63" s="56">
        <f t="shared" ref="B63" si="6">MAX(B58:B62)+1</f>
        <v>42</v>
      </c>
      <c r="C63" s="71" t="s">
        <v>497</v>
      </c>
      <c r="D63" s="23" t="s">
        <v>8</v>
      </c>
      <c r="E63" s="26">
        <v>45267</v>
      </c>
      <c r="F63" s="23" t="s">
        <v>498</v>
      </c>
      <c r="G63" s="26">
        <v>45541</v>
      </c>
      <c r="H63" s="26">
        <v>45584</v>
      </c>
      <c r="I63" s="23" t="s">
        <v>10</v>
      </c>
      <c r="J63" s="26">
        <v>45608</v>
      </c>
      <c r="K63" s="26">
        <v>45617</v>
      </c>
      <c r="L63" s="23" t="s">
        <v>8</v>
      </c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1"/>
    </row>
    <row r="64" spans="1:23" ht="20.100000000000001" customHeight="1" x14ac:dyDescent="0.25">
      <c r="B64" s="192" t="s">
        <v>25</v>
      </c>
      <c r="C64" s="67" t="s">
        <v>93</v>
      </c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8"/>
    </row>
    <row r="65" spans="1:23" s="152" customFormat="1" ht="20.100000000000001" customHeight="1" x14ac:dyDescent="0.25">
      <c r="A65" s="174"/>
      <c r="B65" s="193" t="s">
        <v>0</v>
      </c>
      <c r="C65" s="135" t="s">
        <v>20</v>
      </c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7"/>
      <c r="V65" s="137"/>
      <c r="W65" s="137"/>
    </row>
    <row r="66" spans="1:23" ht="20.100000000000001" customHeight="1" x14ac:dyDescent="0.25">
      <c r="A66" t="s">
        <v>3</v>
      </c>
      <c r="B66" s="56">
        <f>MAX(B58:B65)+1</f>
        <v>43</v>
      </c>
      <c r="C66" s="71" t="s">
        <v>167</v>
      </c>
      <c r="D66" s="55" t="s">
        <v>10</v>
      </c>
      <c r="E66" s="26">
        <v>45253</v>
      </c>
      <c r="F66" s="23" t="s">
        <v>122</v>
      </c>
      <c r="G66" s="26">
        <v>45252</v>
      </c>
      <c r="H66" s="26">
        <v>45253</v>
      </c>
      <c r="I66" s="23" t="s">
        <v>10</v>
      </c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1"/>
    </row>
    <row r="67" spans="1:23" ht="20.100000000000001" customHeight="1" x14ac:dyDescent="0.25">
      <c r="B67" s="56">
        <f>MAX(B59:B66)+1</f>
        <v>44</v>
      </c>
      <c r="C67" s="71" t="s">
        <v>166</v>
      </c>
      <c r="D67" s="23" t="s">
        <v>10</v>
      </c>
      <c r="E67" s="26">
        <v>45243</v>
      </c>
      <c r="F67" s="23" t="s">
        <v>110</v>
      </c>
      <c r="G67" s="26">
        <v>45234</v>
      </c>
      <c r="H67" s="26">
        <v>45243</v>
      </c>
      <c r="I67" s="23" t="s">
        <v>10</v>
      </c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1"/>
    </row>
    <row r="68" spans="1:23" ht="20.100000000000001" customHeight="1" x14ac:dyDescent="0.25">
      <c r="B68" s="56">
        <f>MAX(B64:B67)+1</f>
        <v>45</v>
      </c>
      <c r="C68" s="71" t="s">
        <v>172</v>
      </c>
      <c r="D68" s="166" t="s">
        <v>9</v>
      </c>
      <c r="E68" s="26">
        <v>45253</v>
      </c>
      <c r="F68" s="23" t="s">
        <v>123</v>
      </c>
      <c r="G68" s="26">
        <v>45252</v>
      </c>
      <c r="H68" s="26">
        <v>45253</v>
      </c>
      <c r="I68" s="166" t="s">
        <v>9</v>
      </c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1"/>
    </row>
    <row r="69" spans="1:23" ht="20.100000000000001" customHeight="1" x14ac:dyDescent="0.25">
      <c r="B69" s="56">
        <f t="shared" ref="B69:B72" si="7">MAX(B64:B68)+1</f>
        <v>46</v>
      </c>
      <c r="C69" s="71" t="s">
        <v>168</v>
      </c>
      <c r="D69" s="55" t="s">
        <v>8</v>
      </c>
      <c r="E69" s="26">
        <v>45253</v>
      </c>
      <c r="F69" s="23" t="s">
        <v>121</v>
      </c>
      <c r="G69" s="26">
        <v>45252</v>
      </c>
      <c r="H69" s="26">
        <v>45253</v>
      </c>
      <c r="I69" s="23" t="s">
        <v>8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1"/>
    </row>
    <row r="70" spans="1:23" ht="20.100000000000001" customHeight="1" x14ac:dyDescent="0.25">
      <c r="B70" s="56">
        <f t="shared" si="7"/>
        <v>47</v>
      </c>
      <c r="C70" s="71" t="s">
        <v>171</v>
      </c>
      <c r="D70" s="166" t="s">
        <v>9</v>
      </c>
      <c r="E70" s="26">
        <v>45253</v>
      </c>
      <c r="F70" s="23" t="s">
        <v>120</v>
      </c>
      <c r="G70" s="26">
        <v>45252</v>
      </c>
      <c r="H70" s="26">
        <v>45253</v>
      </c>
      <c r="I70" s="166" t="s">
        <v>9</v>
      </c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1"/>
    </row>
    <row r="71" spans="1:23" ht="20.100000000000001" customHeight="1" x14ac:dyDescent="0.25">
      <c r="B71" s="56">
        <f t="shared" si="7"/>
        <v>48</v>
      </c>
      <c r="C71" s="71" t="s">
        <v>170</v>
      </c>
      <c r="D71" s="166" t="s">
        <v>9</v>
      </c>
      <c r="E71" s="26">
        <v>45253</v>
      </c>
      <c r="F71" s="23" t="s">
        <v>119</v>
      </c>
      <c r="G71" s="26">
        <v>45252</v>
      </c>
      <c r="H71" s="26">
        <v>45253</v>
      </c>
      <c r="I71" s="166" t="s">
        <v>9</v>
      </c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1"/>
    </row>
    <row r="72" spans="1:23" ht="20.100000000000001" customHeight="1" x14ac:dyDescent="0.25">
      <c r="B72" s="56">
        <f t="shared" si="7"/>
        <v>49</v>
      </c>
      <c r="C72" s="71" t="s">
        <v>169</v>
      </c>
      <c r="D72" s="55" t="s">
        <v>10</v>
      </c>
      <c r="E72" s="26">
        <v>45253</v>
      </c>
      <c r="F72" s="23" t="s">
        <v>118</v>
      </c>
      <c r="G72" s="26">
        <v>45252</v>
      </c>
      <c r="H72" s="26">
        <v>45253</v>
      </c>
      <c r="I72" s="23" t="s">
        <v>10</v>
      </c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1"/>
    </row>
    <row r="73" spans="1:23" ht="20.100000000000001" customHeight="1" x14ac:dyDescent="0.25">
      <c r="B73" s="190" t="s">
        <v>1</v>
      </c>
      <c r="C73" s="188" t="s">
        <v>21</v>
      </c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4"/>
    </row>
    <row r="74" spans="1:23" ht="20.100000000000001" customHeight="1" x14ac:dyDescent="0.25">
      <c r="B74" s="56">
        <f t="shared" ref="B74:B79" si="8">MAX(B69:B73)+1</f>
        <v>50</v>
      </c>
      <c r="C74" s="71" t="s">
        <v>173</v>
      </c>
      <c r="D74" s="23" t="s">
        <v>8</v>
      </c>
      <c r="E74" s="26">
        <v>45267</v>
      </c>
      <c r="F74" s="23" t="s">
        <v>125</v>
      </c>
      <c r="G74" s="26">
        <v>45261</v>
      </c>
      <c r="H74" s="26">
        <v>45267</v>
      </c>
      <c r="I74" s="23" t="s">
        <v>10</v>
      </c>
      <c r="J74" s="26">
        <v>45562</v>
      </c>
      <c r="K74" s="26">
        <v>45582</v>
      </c>
      <c r="L74" s="23" t="s">
        <v>8</v>
      </c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1"/>
    </row>
    <row r="75" spans="1:23" ht="20.100000000000001" customHeight="1" x14ac:dyDescent="0.25">
      <c r="B75" s="56">
        <f t="shared" si="8"/>
        <v>51</v>
      </c>
      <c r="C75" s="71" t="s">
        <v>174</v>
      </c>
      <c r="D75" s="23" t="s">
        <v>8</v>
      </c>
      <c r="E75" s="26">
        <v>45267</v>
      </c>
      <c r="F75" s="23" t="s">
        <v>126</v>
      </c>
      <c r="G75" s="26">
        <v>45261</v>
      </c>
      <c r="H75" s="26">
        <v>45267</v>
      </c>
      <c r="I75" s="23" t="s">
        <v>10</v>
      </c>
      <c r="J75" s="26">
        <v>45562</v>
      </c>
      <c r="K75" s="26">
        <v>45582</v>
      </c>
      <c r="L75" s="23" t="s">
        <v>8</v>
      </c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1"/>
    </row>
    <row r="76" spans="1:23" ht="20.100000000000001" customHeight="1" x14ac:dyDescent="0.25">
      <c r="B76" s="56">
        <f t="shared" si="8"/>
        <v>52</v>
      </c>
      <c r="C76" s="71" t="s">
        <v>175</v>
      </c>
      <c r="D76" s="23" t="s">
        <v>8</v>
      </c>
      <c r="E76" s="26">
        <v>45267</v>
      </c>
      <c r="F76" s="23" t="s">
        <v>124</v>
      </c>
      <c r="G76" s="26">
        <v>45261</v>
      </c>
      <c r="H76" s="26">
        <v>45267</v>
      </c>
      <c r="I76" s="23" t="s">
        <v>10</v>
      </c>
      <c r="J76" s="26">
        <v>45562</v>
      </c>
      <c r="K76" s="26">
        <v>45582</v>
      </c>
      <c r="L76" s="23" t="s">
        <v>8</v>
      </c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1"/>
    </row>
    <row r="77" spans="1:23" s="152" customFormat="1" ht="20.100000000000001" customHeight="1" x14ac:dyDescent="0.25">
      <c r="A77" s="174"/>
      <c r="B77" s="191" t="s">
        <v>143</v>
      </c>
      <c r="C77" s="135" t="s">
        <v>22</v>
      </c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7"/>
      <c r="V77" s="137"/>
      <c r="W77" s="137"/>
    </row>
    <row r="78" spans="1:23" ht="20.100000000000001" customHeight="1" x14ac:dyDescent="0.25">
      <c r="B78" s="56">
        <f t="shared" si="8"/>
        <v>53</v>
      </c>
      <c r="C78" s="170" t="s">
        <v>464</v>
      </c>
      <c r="D78" s="23" t="s">
        <v>8</v>
      </c>
      <c r="E78" s="26">
        <v>45576</v>
      </c>
      <c r="F78" s="23" t="s">
        <v>465</v>
      </c>
      <c r="G78" s="26">
        <v>45576</v>
      </c>
      <c r="H78" s="26">
        <v>45582</v>
      </c>
      <c r="I78" s="23" t="s">
        <v>8</v>
      </c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168"/>
      <c r="V78" s="168"/>
      <c r="W78" s="168"/>
    </row>
    <row r="79" spans="1:23" ht="20.100000000000001" customHeight="1" x14ac:dyDescent="0.25">
      <c r="B79" s="56">
        <f t="shared" si="8"/>
        <v>54</v>
      </c>
      <c r="C79" s="170" t="s">
        <v>463</v>
      </c>
      <c r="D79" s="23" t="s">
        <v>8</v>
      </c>
      <c r="E79" s="26">
        <v>45576</v>
      </c>
      <c r="F79" s="23" t="s">
        <v>466</v>
      </c>
      <c r="G79" s="26">
        <v>45576</v>
      </c>
      <c r="H79" s="26">
        <v>45582</v>
      </c>
      <c r="I79" s="23" t="s">
        <v>8</v>
      </c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168"/>
      <c r="V79" s="168"/>
      <c r="W79" s="168"/>
    </row>
    <row r="80" spans="1:23" s="152" customFormat="1" ht="20.100000000000001" customHeight="1" x14ac:dyDescent="0.25">
      <c r="A80" s="174"/>
      <c r="B80" s="56">
        <f t="shared" ref="B80" si="9">MAX(B78:B79)+1</f>
        <v>55</v>
      </c>
      <c r="C80" s="170" t="s">
        <v>478</v>
      </c>
      <c r="D80" s="23" t="s">
        <v>8</v>
      </c>
      <c r="E80" s="26">
        <v>45581</v>
      </c>
      <c r="F80" s="23" t="s">
        <v>479</v>
      </c>
      <c r="G80" s="26">
        <v>45581</v>
      </c>
      <c r="H80" s="26">
        <v>45582</v>
      </c>
      <c r="I80" s="23" t="s">
        <v>8</v>
      </c>
      <c r="J80" s="209"/>
      <c r="K80" s="209"/>
      <c r="L80" s="209"/>
      <c r="M80" s="207"/>
      <c r="N80" s="207"/>
      <c r="O80" s="207"/>
      <c r="P80" s="207"/>
      <c r="Q80" s="207"/>
      <c r="R80" s="207"/>
      <c r="S80" s="207"/>
      <c r="T80" s="207"/>
      <c r="U80" s="208"/>
      <c r="V80" s="208"/>
      <c r="W80" s="208"/>
    </row>
    <row r="81" spans="1:23" ht="20.100000000000001" customHeight="1" x14ac:dyDescent="0.25">
      <c r="B81" s="192" t="s">
        <v>18</v>
      </c>
      <c r="C81" s="67" t="s">
        <v>94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8"/>
    </row>
    <row r="82" spans="1:23" s="152" customFormat="1" ht="20.100000000000001" customHeight="1" x14ac:dyDescent="0.25">
      <c r="A82" s="174"/>
      <c r="B82" s="193" t="s">
        <v>0</v>
      </c>
      <c r="C82" s="135" t="s">
        <v>20</v>
      </c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7"/>
      <c r="V82" s="137"/>
      <c r="W82" s="137"/>
    </row>
    <row r="83" spans="1:23" ht="20.100000000000001" customHeight="1" x14ac:dyDescent="0.25">
      <c r="B83" s="56">
        <f>MAX(B76:B82)+1</f>
        <v>56</v>
      </c>
      <c r="C83" s="71" t="s">
        <v>182</v>
      </c>
      <c r="D83" s="166" t="s">
        <v>9</v>
      </c>
      <c r="E83" s="26">
        <v>45253</v>
      </c>
      <c r="F83" s="23" t="s">
        <v>127</v>
      </c>
      <c r="G83" s="26">
        <v>45252</v>
      </c>
      <c r="H83" s="26">
        <v>45253</v>
      </c>
      <c r="I83" s="166" t="s">
        <v>9</v>
      </c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1"/>
    </row>
    <row r="84" spans="1:23" ht="20.100000000000001" customHeight="1" x14ac:dyDescent="0.25">
      <c r="B84" s="56">
        <f>MAX(B77:B83)+1</f>
        <v>57</v>
      </c>
      <c r="C84" s="71" t="s">
        <v>181</v>
      </c>
      <c r="D84" s="166" t="s">
        <v>9</v>
      </c>
      <c r="E84" s="26">
        <v>45266</v>
      </c>
      <c r="F84" s="23" t="s">
        <v>135</v>
      </c>
      <c r="G84" s="26">
        <v>45261</v>
      </c>
      <c r="H84" s="26">
        <v>45266</v>
      </c>
      <c r="I84" s="166" t="s">
        <v>9</v>
      </c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1"/>
    </row>
    <row r="85" spans="1:23" ht="20.100000000000001" customHeight="1" x14ac:dyDescent="0.25">
      <c r="B85" s="56">
        <f>MAX(B81:B84)+1</f>
        <v>58</v>
      </c>
      <c r="C85" s="71" t="s">
        <v>180</v>
      </c>
      <c r="D85" s="166" t="s">
        <v>9</v>
      </c>
      <c r="E85" s="26">
        <v>45266</v>
      </c>
      <c r="F85" s="23" t="s">
        <v>134</v>
      </c>
      <c r="G85" s="26">
        <v>45261</v>
      </c>
      <c r="H85" s="26">
        <v>45266</v>
      </c>
      <c r="I85" s="166" t="s">
        <v>9</v>
      </c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1"/>
    </row>
    <row r="86" spans="1:23" ht="20.100000000000001" customHeight="1" x14ac:dyDescent="0.25">
      <c r="B86" s="56">
        <f>MAX(B81:B85)+1</f>
        <v>59</v>
      </c>
      <c r="C86" s="71" t="s">
        <v>179</v>
      </c>
      <c r="D86" s="166" t="s">
        <v>9</v>
      </c>
      <c r="E86" s="26">
        <v>45266</v>
      </c>
      <c r="F86" s="23" t="s">
        <v>133</v>
      </c>
      <c r="G86" s="26">
        <v>45261</v>
      </c>
      <c r="H86" s="26">
        <v>45266</v>
      </c>
      <c r="I86" s="166" t="s">
        <v>9</v>
      </c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1"/>
    </row>
    <row r="87" spans="1:23" ht="20.100000000000001" customHeight="1" x14ac:dyDescent="0.25">
      <c r="B87" s="56">
        <f t="shared" ref="B87:B89" si="10">MAX(B81:B86)+1</f>
        <v>60</v>
      </c>
      <c r="C87" s="71" t="s">
        <v>178</v>
      </c>
      <c r="D87" s="166" t="s">
        <v>9</v>
      </c>
      <c r="E87" s="26">
        <v>45266</v>
      </c>
      <c r="F87" s="23" t="s">
        <v>132</v>
      </c>
      <c r="G87" s="26">
        <v>45261</v>
      </c>
      <c r="H87" s="26">
        <v>45266</v>
      </c>
      <c r="I87" s="166" t="s">
        <v>9</v>
      </c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1"/>
    </row>
    <row r="88" spans="1:23" ht="20.100000000000001" customHeight="1" x14ac:dyDescent="0.25">
      <c r="B88" s="56">
        <f t="shared" si="10"/>
        <v>61</v>
      </c>
      <c r="C88" s="71" t="s">
        <v>177</v>
      </c>
      <c r="D88" s="166" t="s">
        <v>9</v>
      </c>
      <c r="E88" s="26">
        <v>45266</v>
      </c>
      <c r="F88" s="23" t="s">
        <v>131</v>
      </c>
      <c r="G88" s="26">
        <v>45261</v>
      </c>
      <c r="H88" s="26">
        <v>45266</v>
      </c>
      <c r="I88" s="166" t="s">
        <v>9</v>
      </c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1"/>
    </row>
    <row r="89" spans="1:23" ht="20.100000000000001" customHeight="1" x14ac:dyDescent="0.25">
      <c r="B89" s="56">
        <f t="shared" si="10"/>
        <v>62</v>
      </c>
      <c r="C89" s="71" t="s">
        <v>176</v>
      </c>
      <c r="D89" s="166" t="s">
        <v>9</v>
      </c>
      <c r="E89" s="26">
        <v>45266</v>
      </c>
      <c r="F89" s="23" t="s">
        <v>130</v>
      </c>
      <c r="G89" s="26">
        <v>45261</v>
      </c>
      <c r="H89" s="26">
        <v>45266</v>
      </c>
      <c r="I89" s="166" t="s">
        <v>9</v>
      </c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1"/>
    </row>
    <row r="90" spans="1:23" ht="20.100000000000001" customHeight="1" x14ac:dyDescent="0.25">
      <c r="B90" s="189">
        <f t="shared" ref="B90" si="11">MAX(B88:B89)+1</f>
        <v>63</v>
      </c>
      <c r="C90" s="70" t="s">
        <v>433</v>
      </c>
      <c r="D90" s="172" t="s">
        <v>9</v>
      </c>
      <c r="E90" s="60">
        <v>45266</v>
      </c>
      <c r="F90" s="59" t="s">
        <v>139</v>
      </c>
      <c r="G90" s="60">
        <v>45261</v>
      </c>
      <c r="H90" s="60">
        <v>45266</v>
      </c>
      <c r="I90" s="172" t="s">
        <v>9</v>
      </c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61"/>
    </row>
    <row r="91" spans="1:23" ht="20.100000000000001" customHeight="1" x14ac:dyDescent="0.25">
      <c r="B91" s="190" t="s">
        <v>1</v>
      </c>
      <c r="C91" s="72" t="s">
        <v>21</v>
      </c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4"/>
    </row>
    <row r="92" spans="1:23" ht="20.100000000000001" customHeight="1" x14ac:dyDescent="0.25">
      <c r="B92" s="194">
        <f>MAX(B88:B91)+1</f>
        <v>64</v>
      </c>
      <c r="C92" s="159" t="s">
        <v>441</v>
      </c>
      <c r="D92" s="166" t="s">
        <v>8</v>
      </c>
      <c r="E92" s="62">
        <v>45253</v>
      </c>
      <c r="F92" s="41" t="s">
        <v>140</v>
      </c>
      <c r="G92" s="62">
        <v>45252</v>
      </c>
      <c r="H92" s="62">
        <v>45253</v>
      </c>
      <c r="I92" s="203" t="s">
        <v>9</v>
      </c>
      <c r="J92" s="62">
        <v>45261</v>
      </c>
      <c r="K92" s="62">
        <v>45267</v>
      </c>
      <c r="L92" s="47" t="s">
        <v>8</v>
      </c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2"/>
    </row>
    <row r="93" spans="1:23" ht="20.100000000000001" customHeight="1" x14ac:dyDescent="0.25">
      <c r="B93" s="56">
        <f t="shared" ref="B93:B95" si="12">MAX(B91:B92)+1</f>
        <v>65</v>
      </c>
      <c r="C93" s="71" t="s">
        <v>434</v>
      </c>
      <c r="D93" s="166" t="s">
        <v>8</v>
      </c>
      <c r="E93" s="26">
        <v>45267</v>
      </c>
      <c r="F93" s="23" t="s">
        <v>136</v>
      </c>
      <c r="G93" s="26">
        <v>45261</v>
      </c>
      <c r="H93" s="26">
        <v>45267</v>
      </c>
      <c r="I93" s="166" t="s">
        <v>9</v>
      </c>
      <c r="J93" s="26">
        <v>45591</v>
      </c>
      <c r="K93" s="26">
        <v>45600</v>
      </c>
      <c r="L93" s="166" t="s">
        <v>8</v>
      </c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1"/>
    </row>
    <row r="94" spans="1:23" ht="20.100000000000001" customHeight="1" x14ac:dyDescent="0.25">
      <c r="B94" s="56">
        <f t="shared" si="12"/>
        <v>66</v>
      </c>
      <c r="C94" s="71" t="s">
        <v>429</v>
      </c>
      <c r="D94" s="23" t="s">
        <v>8</v>
      </c>
      <c r="E94" s="26">
        <v>45267</v>
      </c>
      <c r="F94" s="23" t="s">
        <v>137</v>
      </c>
      <c r="G94" s="26">
        <v>45261</v>
      </c>
      <c r="H94" s="26">
        <v>45267</v>
      </c>
      <c r="I94" s="23" t="s">
        <v>10</v>
      </c>
      <c r="J94" s="26">
        <v>45591</v>
      </c>
      <c r="K94" s="26">
        <v>45600</v>
      </c>
      <c r="L94" s="166" t="s">
        <v>8</v>
      </c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1"/>
    </row>
    <row r="95" spans="1:23" ht="20.100000000000001" customHeight="1" x14ac:dyDescent="0.25">
      <c r="B95" s="56">
        <f t="shared" si="12"/>
        <v>67</v>
      </c>
      <c r="C95" s="71" t="s">
        <v>436</v>
      </c>
      <c r="D95" s="166" t="s">
        <v>8</v>
      </c>
      <c r="E95" s="26">
        <v>45267</v>
      </c>
      <c r="F95" s="23" t="s">
        <v>138</v>
      </c>
      <c r="G95" s="26">
        <v>45261</v>
      </c>
      <c r="H95" s="26">
        <v>45267</v>
      </c>
      <c r="I95" s="166" t="s">
        <v>9</v>
      </c>
      <c r="J95" s="26">
        <v>45591</v>
      </c>
      <c r="K95" s="26">
        <v>45600</v>
      </c>
      <c r="L95" s="166" t="s">
        <v>8</v>
      </c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1"/>
    </row>
    <row r="96" spans="1:23" ht="20.100000000000001" customHeight="1" x14ac:dyDescent="0.25">
      <c r="B96" s="56">
        <f>MAX(B95:B95)+1</f>
        <v>68</v>
      </c>
      <c r="C96" s="68" t="s">
        <v>442</v>
      </c>
      <c r="D96" s="55" t="s">
        <v>8</v>
      </c>
      <c r="E96" s="26">
        <v>45267</v>
      </c>
      <c r="F96" s="23" t="s">
        <v>129</v>
      </c>
      <c r="G96" s="26">
        <v>45261</v>
      </c>
      <c r="H96" s="26">
        <v>45267</v>
      </c>
      <c r="I96" s="23" t="s">
        <v>8</v>
      </c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1"/>
    </row>
    <row r="97" spans="1:23" ht="20.100000000000001" customHeight="1" x14ac:dyDescent="0.25">
      <c r="B97" s="56">
        <f>MAX(B96:B96)+1</f>
        <v>69</v>
      </c>
      <c r="C97" s="71" t="s">
        <v>455</v>
      </c>
      <c r="D97" s="55" t="s">
        <v>8</v>
      </c>
      <c r="E97" s="26">
        <v>45267</v>
      </c>
      <c r="F97" s="23" t="s">
        <v>128</v>
      </c>
      <c r="G97" s="26">
        <v>45261</v>
      </c>
      <c r="H97" s="26">
        <v>45267</v>
      </c>
      <c r="I97" s="166" t="s">
        <v>9</v>
      </c>
      <c r="J97" s="26">
        <v>45591</v>
      </c>
      <c r="K97" s="26">
        <v>45600</v>
      </c>
      <c r="L97" s="166" t="s">
        <v>8</v>
      </c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1"/>
    </row>
    <row r="98" spans="1:23" ht="20.100000000000001" customHeight="1" x14ac:dyDescent="0.25">
      <c r="B98" s="190" t="s">
        <v>143</v>
      </c>
      <c r="C98" s="72" t="s">
        <v>22</v>
      </c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4"/>
    </row>
    <row r="99" spans="1:23" ht="20.100000000000001" customHeight="1" x14ac:dyDescent="0.25">
      <c r="B99" s="194">
        <f>MAX(B95:B98)+1</f>
        <v>70</v>
      </c>
      <c r="C99" s="159" t="s">
        <v>544</v>
      </c>
      <c r="D99" s="203" t="s">
        <v>8</v>
      </c>
      <c r="E99" s="62">
        <v>45638</v>
      </c>
      <c r="F99" s="41" t="s">
        <v>545</v>
      </c>
      <c r="G99" s="62">
        <v>45638</v>
      </c>
      <c r="H99" s="62">
        <v>45645</v>
      </c>
      <c r="I99" s="203" t="s">
        <v>8</v>
      </c>
      <c r="J99" s="62"/>
      <c r="K99" s="41"/>
      <c r="L99" s="12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2"/>
    </row>
    <row r="100" spans="1:23" ht="20.100000000000001" customHeight="1" x14ac:dyDescent="0.25">
      <c r="B100" s="192" t="s">
        <v>26</v>
      </c>
      <c r="C100" s="67" t="s">
        <v>85</v>
      </c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8"/>
    </row>
    <row r="101" spans="1:23" s="152" customFormat="1" ht="20.100000000000001" customHeight="1" x14ac:dyDescent="0.25">
      <c r="A101" s="174"/>
      <c r="B101" s="193" t="s">
        <v>0</v>
      </c>
      <c r="C101" s="135" t="s">
        <v>20</v>
      </c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7"/>
      <c r="V101" s="137"/>
      <c r="W101" s="137"/>
    </row>
    <row r="102" spans="1:23" ht="20.100000000000001" customHeight="1" x14ac:dyDescent="0.25">
      <c r="B102" s="56">
        <f>MAX(B97:B101)+1</f>
        <v>71</v>
      </c>
      <c r="C102" s="71" t="s">
        <v>305</v>
      </c>
      <c r="D102" s="166" t="s">
        <v>9</v>
      </c>
      <c r="E102" s="26">
        <v>45280</v>
      </c>
      <c r="F102" s="23" t="s">
        <v>185</v>
      </c>
      <c r="G102" s="26">
        <v>45273</v>
      </c>
      <c r="H102" s="26">
        <v>45280</v>
      </c>
      <c r="I102" s="166" t="s">
        <v>9</v>
      </c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1"/>
    </row>
    <row r="103" spans="1:23" ht="20.100000000000001" customHeight="1" x14ac:dyDescent="0.25">
      <c r="B103" s="56">
        <f t="shared" ref="B103:B108" si="13">MAX(B100:B102)+1</f>
        <v>72</v>
      </c>
      <c r="C103" s="71" t="s">
        <v>306</v>
      </c>
      <c r="D103" s="166" t="s">
        <v>9</v>
      </c>
      <c r="E103" s="26">
        <v>45280</v>
      </c>
      <c r="F103" s="23" t="s">
        <v>183</v>
      </c>
      <c r="G103" s="26">
        <v>45273</v>
      </c>
      <c r="H103" s="26">
        <v>45280</v>
      </c>
      <c r="I103" s="166" t="s">
        <v>9</v>
      </c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1"/>
    </row>
    <row r="104" spans="1:23" ht="20.100000000000001" customHeight="1" x14ac:dyDescent="0.25">
      <c r="B104" s="56">
        <f t="shared" si="13"/>
        <v>73</v>
      </c>
      <c r="C104" s="71" t="s">
        <v>312</v>
      </c>
      <c r="D104" s="166" t="s">
        <v>9</v>
      </c>
      <c r="E104" s="26">
        <v>45280</v>
      </c>
      <c r="F104" s="23" t="s">
        <v>184</v>
      </c>
      <c r="G104" s="26">
        <v>45273</v>
      </c>
      <c r="H104" s="26">
        <v>45280</v>
      </c>
      <c r="I104" s="166" t="s">
        <v>9</v>
      </c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1"/>
    </row>
    <row r="105" spans="1:23" ht="20.100000000000001" customHeight="1" x14ac:dyDescent="0.25">
      <c r="B105" s="56">
        <f t="shared" si="13"/>
        <v>74</v>
      </c>
      <c r="C105" s="71" t="s">
        <v>311</v>
      </c>
      <c r="D105" s="166" t="s">
        <v>9</v>
      </c>
      <c r="E105" s="26">
        <v>45280</v>
      </c>
      <c r="F105" s="23" t="s">
        <v>186</v>
      </c>
      <c r="G105" s="26">
        <v>45273</v>
      </c>
      <c r="H105" s="26">
        <v>45280</v>
      </c>
      <c r="I105" s="166" t="s">
        <v>9</v>
      </c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1"/>
    </row>
    <row r="106" spans="1:23" ht="20.100000000000001" customHeight="1" x14ac:dyDescent="0.25">
      <c r="B106" s="56">
        <f t="shared" si="13"/>
        <v>75</v>
      </c>
      <c r="C106" s="71" t="s">
        <v>310</v>
      </c>
      <c r="D106" s="55" t="s">
        <v>8</v>
      </c>
      <c r="E106" s="26">
        <v>45280</v>
      </c>
      <c r="F106" s="23" t="s">
        <v>187</v>
      </c>
      <c r="G106" s="26">
        <v>45273</v>
      </c>
      <c r="H106" s="26">
        <v>45280</v>
      </c>
      <c r="I106" s="120" t="s">
        <v>8</v>
      </c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1"/>
    </row>
    <row r="107" spans="1:23" ht="20.100000000000001" customHeight="1" x14ac:dyDescent="0.25">
      <c r="B107" s="56">
        <f t="shared" si="13"/>
        <v>76</v>
      </c>
      <c r="C107" s="71" t="s">
        <v>309</v>
      </c>
      <c r="D107" s="166" t="s">
        <v>9</v>
      </c>
      <c r="E107" s="26">
        <v>45280</v>
      </c>
      <c r="F107" s="23" t="s">
        <v>188</v>
      </c>
      <c r="G107" s="26">
        <v>45273</v>
      </c>
      <c r="H107" s="26">
        <v>45280</v>
      </c>
      <c r="I107" s="166" t="s">
        <v>9</v>
      </c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1"/>
    </row>
    <row r="108" spans="1:23" ht="20.100000000000001" customHeight="1" x14ac:dyDescent="0.25">
      <c r="B108" s="56">
        <f t="shared" si="13"/>
        <v>77</v>
      </c>
      <c r="C108" s="71" t="s">
        <v>308</v>
      </c>
      <c r="D108" s="166" t="s">
        <v>9</v>
      </c>
      <c r="E108" s="26">
        <v>45280</v>
      </c>
      <c r="F108" s="23" t="s">
        <v>189</v>
      </c>
      <c r="G108" s="26">
        <v>45273</v>
      </c>
      <c r="H108" s="26">
        <v>45280</v>
      </c>
      <c r="I108" s="166" t="s">
        <v>9</v>
      </c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1"/>
    </row>
    <row r="109" spans="1:23" ht="20.100000000000001" customHeight="1" x14ac:dyDescent="0.25">
      <c r="B109" s="190" t="s">
        <v>1</v>
      </c>
      <c r="C109" s="72" t="s">
        <v>21</v>
      </c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4"/>
    </row>
    <row r="110" spans="1:23" ht="20.100000000000001" customHeight="1" x14ac:dyDescent="0.25">
      <c r="B110" s="56">
        <f>MAX(B107:B109)+1</f>
        <v>78</v>
      </c>
      <c r="C110" s="71" t="s">
        <v>437</v>
      </c>
      <c r="D110" s="55" t="s">
        <v>8</v>
      </c>
      <c r="E110" s="26">
        <v>45301</v>
      </c>
      <c r="F110" s="23" t="s">
        <v>274</v>
      </c>
      <c r="G110" s="26">
        <v>45295</v>
      </c>
      <c r="H110" s="26">
        <v>45301</v>
      </c>
      <c r="I110" s="120" t="s">
        <v>8</v>
      </c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1"/>
    </row>
    <row r="111" spans="1:23" ht="20.100000000000001" customHeight="1" x14ac:dyDescent="0.25">
      <c r="B111" s="56">
        <f>MAX(B108:B110)+1</f>
        <v>79</v>
      </c>
      <c r="C111" s="71" t="s">
        <v>307</v>
      </c>
      <c r="D111" s="55" t="s">
        <v>8</v>
      </c>
      <c r="E111" s="26">
        <v>45301</v>
      </c>
      <c r="F111" s="23" t="s">
        <v>273</v>
      </c>
      <c r="G111" s="26">
        <v>45295</v>
      </c>
      <c r="H111" s="26">
        <v>45301</v>
      </c>
      <c r="I111" s="166" t="s">
        <v>9</v>
      </c>
      <c r="J111" s="26">
        <v>45596</v>
      </c>
      <c r="K111" s="26">
        <v>45617</v>
      </c>
      <c r="L111" s="55" t="s">
        <v>8</v>
      </c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1"/>
    </row>
    <row r="112" spans="1:23" ht="20.100000000000001" customHeight="1" x14ac:dyDescent="0.25">
      <c r="B112" s="56">
        <f>MAX(B109:B111)+1</f>
        <v>80</v>
      </c>
      <c r="C112" s="68" t="s">
        <v>313</v>
      </c>
      <c r="D112" s="55" t="s">
        <v>8</v>
      </c>
      <c r="E112" s="26">
        <v>45301</v>
      </c>
      <c r="F112" s="23" t="s">
        <v>276</v>
      </c>
      <c r="G112" s="26">
        <v>45295</v>
      </c>
      <c r="H112" s="26">
        <v>45301</v>
      </c>
      <c r="I112" s="120" t="s">
        <v>8</v>
      </c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1"/>
    </row>
    <row r="113" spans="1:23" ht="20.100000000000001" customHeight="1" x14ac:dyDescent="0.25">
      <c r="B113" s="56">
        <f>MAX(B110:B112)+1</f>
        <v>81</v>
      </c>
      <c r="C113" s="71" t="s">
        <v>314</v>
      </c>
      <c r="D113" s="55" t="s">
        <v>8</v>
      </c>
      <c r="E113" s="26">
        <v>45301</v>
      </c>
      <c r="F113" s="23" t="s">
        <v>277</v>
      </c>
      <c r="G113" s="26">
        <v>45295</v>
      </c>
      <c r="H113" s="26">
        <v>45301</v>
      </c>
      <c r="I113" s="120" t="s">
        <v>10</v>
      </c>
      <c r="J113" s="26">
        <v>45596</v>
      </c>
      <c r="K113" s="26">
        <v>45617</v>
      </c>
      <c r="L113" s="55" t="s">
        <v>8</v>
      </c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1"/>
    </row>
    <row r="114" spans="1:23" s="152" customFormat="1" ht="20.100000000000001" customHeight="1" x14ac:dyDescent="0.25">
      <c r="A114" s="174"/>
      <c r="B114" s="191" t="s">
        <v>143</v>
      </c>
      <c r="C114" s="135" t="s">
        <v>22</v>
      </c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7"/>
      <c r="V114" s="137"/>
      <c r="W114" s="137"/>
    </row>
    <row r="115" spans="1:23" ht="20.100000000000001" customHeight="1" x14ac:dyDescent="0.25">
      <c r="B115" s="56">
        <f>MAX(B111:B113)+1</f>
        <v>82</v>
      </c>
      <c r="C115" s="71" t="s">
        <v>467</v>
      </c>
      <c r="D115" s="55" t="s">
        <v>8</v>
      </c>
      <c r="E115" s="26">
        <v>45576</v>
      </c>
      <c r="F115" s="23" t="s">
        <v>469</v>
      </c>
      <c r="G115" s="26">
        <v>45576</v>
      </c>
      <c r="H115" s="26">
        <v>45582</v>
      </c>
      <c r="I115" s="55" t="s">
        <v>8</v>
      </c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1"/>
    </row>
    <row r="116" spans="1:23" ht="20.100000000000001" customHeight="1" x14ac:dyDescent="0.25">
      <c r="B116" s="56">
        <f>MAX(B112:B115)+1</f>
        <v>83</v>
      </c>
      <c r="C116" s="71" t="s">
        <v>468</v>
      </c>
      <c r="D116" s="55" t="s">
        <v>8</v>
      </c>
      <c r="E116" s="26">
        <v>45576</v>
      </c>
      <c r="F116" s="23" t="s">
        <v>470</v>
      </c>
      <c r="G116" s="26">
        <v>45576</v>
      </c>
      <c r="H116" s="26">
        <v>45582</v>
      </c>
      <c r="I116" s="55" t="s">
        <v>9</v>
      </c>
      <c r="J116" s="26">
        <v>45608</v>
      </c>
      <c r="K116" s="26">
        <v>45617</v>
      </c>
      <c r="L116" s="55" t="s">
        <v>8</v>
      </c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1"/>
    </row>
    <row r="117" spans="1:23" ht="20.100000000000001" customHeight="1" x14ac:dyDescent="0.25">
      <c r="B117" s="192" t="s">
        <v>346</v>
      </c>
      <c r="C117" s="123" t="s">
        <v>329</v>
      </c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8"/>
    </row>
    <row r="118" spans="1:23" s="152" customFormat="1" ht="20.100000000000001" customHeight="1" x14ac:dyDescent="0.25">
      <c r="A118" s="174"/>
      <c r="B118" s="193" t="s">
        <v>0</v>
      </c>
      <c r="C118" s="135" t="s">
        <v>20</v>
      </c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7"/>
      <c r="V118" s="137"/>
      <c r="W118" s="137"/>
    </row>
    <row r="119" spans="1:23" ht="20.100000000000001" customHeight="1" x14ac:dyDescent="0.25">
      <c r="B119" s="56">
        <f>MAX(B108:B118)+1</f>
        <v>84</v>
      </c>
      <c r="C119" s="71" t="s">
        <v>305</v>
      </c>
      <c r="D119" s="166" t="s">
        <v>9</v>
      </c>
      <c r="E119" s="26">
        <v>45301</v>
      </c>
      <c r="F119" s="23" t="s">
        <v>266</v>
      </c>
      <c r="G119" s="26">
        <v>45297</v>
      </c>
      <c r="H119" s="26">
        <v>45301</v>
      </c>
      <c r="I119" s="166" t="s">
        <v>9</v>
      </c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1"/>
    </row>
    <row r="120" spans="1:23" ht="20.100000000000001" customHeight="1" x14ac:dyDescent="0.25">
      <c r="B120" s="56">
        <f>MAX(B117:B119)+1</f>
        <v>85</v>
      </c>
      <c r="C120" s="71" t="s">
        <v>306</v>
      </c>
      <c r="D120" s="166" t="s">
        <v>9</v>
      </c>
      <c r="E120" s="26">
        <v>45301</v>
      </c>
      <c r="F120" s="23" t="s">
        <v>267</v>
      </c>
      <c r="G120" s="26">
        <v>45297</v>
      </c>
      <c r="H120" s="26">
        <v>45301</v>
      </c>
      <c r="I120" s="166" t="s">
        <v>9</v>
      </c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1"/>
    </row>
    <row r="121" spans="1:23" ht="20.100000000000001" customHeight="1" x14ac:dyDescent="0.25">
      <c r="B121" s="56">
        <f>MAX(B118:B120)+1</f>
        <v>86</v>
      </c>
      <c r="C121" s="71" t="s">
        <v>312</v>
      </c>
      <c r="D121" s="166" t="s">
        <v>9</v>
      </c>
      <c r="E121" s="26">
        <v>45301</v>
      </c>
      <c r="F121" s="23" t="s">
        <v>268</v>
      </c>
      <c r="G121" s="26">
        <v>45297</v>
      </c>
      <c r="H121" s="26">
        <v>45301</v>
      </c>
      <c r="I121" s="166" t="s">
        <v>9</v>
      </c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1"/>
    </row>
    <row r="122" spans="1:23" ht="20.100000000000001" customHeight="1" x14ac:dyDescent="0.25">
      <c r="B122" s="56">
        <f t="shared" ref="B122" si="14">MAX(B119:B121)+1</f>
        <v>87</v>
      </c>
      <c r="C122" s="71" t="s">
        <v>311</v>
      </c>
      <c r="D122" s="120" t="s">
        <v>8</v>
      </c>
      <c r="E122" s="26">
        <v>45301</v>
      </c>
      <c r="F122" s="23" t="s">
        <v>270</v>
      </c>
      <c r="G122" s="26">
        <v>45297</v>
      </c>
      <c r="H122" s="26">
        <v>45301</v>
      </c>
      <c r="I122" s="120" t="s">
        <v>8</v>
      </c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1"/>
    </row>
    <row r="123" spans="1:23" ht="20.100000000000001" customHeight="1" x14ac:dyDescent="0.25">
      <c r="B123" s="56">
        <f>MAX(B120:B122)+1</f>
        <v>88</v>
      </c>
      <c r="C123" s="71" t="s">
        <v>310</v>
      </c>
      <c r="D123" s="120" t="s">
        <v>8</v>
      </c>
      <c r="E123" s="26">
        <v>45301</v>
      </c>
      <c r="F123" s="23" t="s">
        <v>271</v>
      </c>
      <c r="G123" s="26">
        <v>45297</v>
      </c>
      <c r="H123" s="26">
        <v>45301</v>
      </c>
      <c r="I123" s="120" t="s">
        <v>8</v>
      </c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1"/>
    </row>
    <row r="124" spans="1:23" ht="20.100000000000001" customHeight="1" x14ac:dyDescent="0.25">
      <c r="B124" s="56">
        <f>MAX(B121:B123)+1</f>
        <v>89</v>
      </c>
      <c r="C124" s="71" t="s">
        <v>309</v>
      </c>
      <c r="D124" s="120" t="s">
        <v>8</v>
      </c>
      <c r="E124" s="26">
        <v>45301</v>
      </c>
      <c r="F124" s="23" t="s">
        <v>272</v>
      </c>
      <c r="G124" s="26">
        <v>45297</v>
      </c>
      <c r="H124" s="26">
        <v>45301</v>
      </c>
      <c r="I124" s="120" t="s">
        <v>8</v>
      </c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1"/>
    </row>
    <row r="125" spans="1:23" ht="20.100000000000001" customHeight="1" x14ac:dyDescent="0.25">
      <c r="B125" s="56">
        <f>MAX(B122:B124)+1</f>
        <v>90</v>
      </c>
      <c r="C125" s="71" t="s">
        <v>308</v>
      </c>
      <c r="D125" s="166" t="s">
        <v>9</v>
      </c>
      <c r="E125" s="26">
        <v>45301</v>
      </c>
      <c r="F125" s="23" t="s">
        <v>269</v>
      </c>
      <c r="G125" s="26">
        <v>45297</v>
      </c>
      <c r="H125" s="26">
        <v>45301</v>
      </c>
      <c r="I125" s="120" t="s">
        <v>9</v>
      </c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1"/>
    </row>
    <row r="126" spans="1:23" ht="20.100000000000001" customHeight="1" x14ac:dyDescent="0.25">
      <c r="B126" s="190" t="s">
        <v>1</v>
      </c>
      <c r="C126" s="72" t="s">
        <v>21</v>
      </c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4"/>
    </row>
    <row r="127" spans="1:23" ht="20.100000000000001" customHeight="1" x14ac:dyDescent="0.25">
      <c r="B127" s="56">
        <f>MAX(B124:B126)+1</f>
        <v>91</v>
      </c>
      <c r="C127" s="71" t="s">
        <v>443</v>
      </c>
      <c r="D127" s="55" t="s">
        <v>8</v>
      </c>
      <c r="E127" s="26">
        <v>45301</v>
      </c>
      <c r="F127" s="23" t="s">
        <v>275</v>
      </c>
      <c r="G127" s="26">
        <v>45295</v>
      </c>
      <c r="H127" s="26">
        <v>45301</v>
      </c>
      <c r="I127" s="120" t="s">
        <v>8</v>
      </c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1"/>
    </row>
    <row r="128" spans="1:23" ht="20.100000000000001" customHeight="1" x14ac:dyDescent="0.25">
      <c r="B128" s="56">
        <f>MAX(B125:B127)+1</f>
        <v>92</v>
      </c>
      <c r="C128" s="71" t="s">
        <v>307</v>
      </c>
      <c r="D128" s="166" t="s">
        <v>9</v>
      </c>
      <c r="E128" s="26">
        <v>45309</v>
      </c>
      <c r="F128" s="23" t="s">
        <v>315</v>
      </c>
      <c r="G128" s="26">
        <v>45307</v>
      </c>
      <c r="H128" s="26">
        <v>45309</v>
      </c>
      <c r="I128" s="120" t="s">
        <v>9</v>
      </c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1"/>
    </row>
    <row r="129" spans="1:23" ht="20.100000000000001" customHeight="1" x14ac:dyDescent="0.25">
      <c r="B129" s="56">
        <f>MAX(B126:B128)+1</f>
        <v>93</v>
      </c>
      <c r="C129" s="71" t="s">
        <v>289</v>
      </c>
      <c r="D129" s="166" t="s">
        <v>8</v>
      </c>
      <c r="E129" s="26">
        <v>45309</v>
      </c>
      <c r="F129" s="23" t="s">
        <v>316</v>
      </c>
      <c r="G129" s="26">
        <v>45307</v>
      </c>
      <c r="H129" s="26">
        <v>45309</v>
      </c>
      <c r="I129" s="120" t="s">
        <v>9</v>
      </c>
      <c r="J129" s="26">
        <v>45618</v>
      </c>
      <c r="K129" s="26">
        <v>45624</v>
      </c>
      <c r="L129" s="120" t="s">
        <v>8</v>
      </c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1"/>
    </row>
    <row r="130" spans="1:23" s="152" customFormat="1" ht="20.100000000000001" customHeight="1" x14ac:dyDescent="0.25">
      <c r="A130" s="174"/>
      <c r="B130" s="191" t="s">
        <v>143</v>
      </c>
      <c r="C130" s="135" t="s">
        <v>22</v>
      </c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7"/>
      <c r="V130" s="137"/>
      <c r="W130" s="137"/>
    </row>
    <row r="131" spans="1:23" ht="20.100000000000001" customHeight="1" x14ac:dyDescent="0.25">
      <c r="B131" s="56">
        <f>MAX(B127:B129)+1</f>
        <v>94</v>
      </c>
      <c r="C131" s="71" t="s">
        <v>549</v>
      </c>
      <c r="D131" s="24" t="s">
        <v>8</v>
      </c>
      <c r="E131" s="27"/>
      <c r="F131" s="24" t="s">
        <v>499</v>
      </c>
      <c r="G131" s="27">
        <v>45615</v>
      </c>
      <c r="H131" s="27">
        <v>45631</v>
      </c>
      <c r="I131" s="24" t="s">
        <v>8</v>
      </c>
      <c r="J131" s="24"/>
      <c r="K131" s="24"/>
      <c r="L131" s="89"/>
      <c r="M131" s="24"/>
      <c r="N131" s="23"/>
      <c r="O131" s="23"/>
      <c r="P131" s="23"/>
      <c r="Q131" s="23"/>
      <c r="R131" s="23"/>
      <c r="S131" s="23"/>
      <c r="T131" s="23"/>
      <c r="U131" s="23"/>
      <c r="V131" s="23"/>
      <c r="W131" s="21"/>
    </row>
    <row r="132" spans="1:23" ht="20.100000000000001" customHeight="1" x14ac:dyDescent="0.25">
      <c r="B132" s="56">
        <f>MAX(B128:B131)+1</f>
        <v>95</v>
      </c>
      <c r="C132" s="71" t="s">
        <v>550</v>
      </c>
      <c r="D132" s="24" t="s">
        <v>8</v>
      </c>
      <c r="E132" s="27"/>
      <c r="F132" s="24" t="s">
        <v>501</v>
      </c>
      <c r="G132" s="27">
        <v>45615</v>
      </c>
      <c r="H132" s="27">
        <v>45631</v>
      </c>
      <c r="I132" s="24" t="s">
        <v>8</v>
      </c>
      <c r="J132" s="27"/>
      <c r="K132" s="27"/>
      <c r="L132" s="24"/>
      <c r="M132" s="24"/>
      <c r="N132" s="23"/>
      <c r="O132" s="23"/>
      <c r="P132" s="23"/>
      <c r="Q132" s="23"/>
      <c r="R132" s="23"/>
      <c r="S132" s="23"/>
      <c r="T132" s="23"/>
      <c r="U132" s="23"/>
      <c r="V132" s="23"/>
      <c r="W132" s="21"/>
    </row>
    <row r="133" spans="1:23" ht="20.100000000000001" customHeight="1" x14ac:dyDescent="0.25">
      <c r="B133" s="56">
        <f>MAX(B129:B132)+1</f>
        <v>96</v>
      </c>
      <c r="C133" s="71" t="s">
        <v>551</v>
      </c>
      <c r="D133" s="24" t="s">
        <v>10</v>
      </c>
      <c r="E133" s="27"/>
      <c r="F133" s="24" t="s">
        <v>503</v>
      </c>
      <c r="G133" s="27">
        <v>45633</v>
      </c>
      <c r="H133" s="27">
        <v>45645</v>
      </c>
      <c r="I133" s="24" t="s">
        <v>10</v>
      </c>
      <c r="J133" s="27"/>
      <c r="K133" s="27"/>
      <c r="L133" s="24"/>
      <c r="M133" s="24"/>
      <c r="N133" s="23"/>
      <c r="O133" s="23"/>
      <c r="P133" s="23"/>
      <c r="Q133" s="23"/>
      <c r="R133" s="23"/>
      <c r="S133" s="23"/>
      <c r="T133" s="23"/>
      <c r="U133" s="23"/>
      <c r="V133" s="23"/>
      <c r="W133" s="21"/>
    </row>
    <row r="134" spans="1:23" ht="20.100000000000001" customHeight="1" x14ac:dyDescent="0.25">
      <c r="B134" s="192" t="s">
        <v>347</v>
      </c>
      <c r="C134" s="123" t="s">
        <v>328</v>
      </c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8"/>
    </row>
    <row r="135" spans="1:23" s="152" customFormat="1" ht="20.100000000000001" customHeight="1" x14ac:dyDescent="0.25">
      <c r="A135" s="174"/>
      <c r="B135" s="193" t="s">
        <v>0</v>
      </c>
      <c r="C135" s="135" t="s">
        <v>20</v>
      </c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7"/>
      <c r="V135" s="137"/>
      <c r="W135" s="137"/>
    </row>
    <row r="136" spans="1:23" ht="20.100000000000001" customHeight="1" x14ac:dyDescent="0.25">
      <c r="B136" s="56">
        <f>MAX(B129:B135)+1</f>
        <v>97</v>
      </c>
      <c r="C136" s="170" t="s">
        <v>345</v>
      </c>
      <c r="D136" s="202" t="s">
        <v>9</v>
      </c>
      <c r="E136" s="26">
        <v>45525</v>
      </c>
      <c r="F136" s="24" t="s">
        <v>395</v>
      </c>
      <c r="G136" s="26">
        <v>45525</v>
      </c>
      <c r="H136" s="26">
        <v>45537</v>
      </c>
      <c r="I136" s="120" t="s">
        <v>9</v>
      </c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168"/>
    </row>
    <row r="137" spans="1:23" ht="20.100000000000001" customHeight="1" x14ac:dyDescent="0.25">
      <c r="B137" s="56">
        <f t="shared" ref="B137:B142" si="15">MAX(B134:B136)+1</f>
        <v>98</v>
      </c>
      <c r="C137" s="170" t="s">
        <v>349</v>
      </c>
      <c r="D137" s="120" t="s">
        <v>8</v>
      </c>
      <c r="E137" s="26">
        <v>45517</v>
      </c>
      <c r="F137" s="24" t="s">
        <v>390</v>
      </c>
      <c r="G137" s="26">
        <v>45517</v>
      </c>
      <c r="H137" s="26">
        <v>45526</v>
      </c>
      <c r="I137" s="120" t="s">
        <v>8</v>
      </c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168"/>
    </row>
    <row r="138" spans="1:23" ht="20.100000000000001" customHeight="1" x14ac:dyDescent="0.25">
      <c r="B138" s="56">
        <f t="shared" si="15"/>
        <v>99</v>
      </c>
      <c r="C138" s="170" t="s">
        <v>348</v>
      </c>
      <c r="D138" s="202" t="s">
        <v>9</v>
      </c>
      <c r="E138" s="26">
        <v>45525</v>
      </c>
      <c r="F138" s="24" t="s">
        <v>396</v>
      </c>
      <c r="G138" s="26">
        <v>45525</v>
      </c>
      <c r="H138" s="26">
        <v>45537</v>
      </c>
      <c r="I138" s="120" t="s">
        <v>9</v>
      </c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168"/>
    </row>
    <row r="139" spans="1:23" ht="20.100000000000001" customHeight="1" x14ac:dyDescent="0.25">
      <c r="B139" s="56">
        <f t="shared" si="15"/>
        <v>100</v>
      </c>
      <c r="C139" s="170" t="s">
        <v>344</v>
      </c>
      <c r="D139" s="183" t="s">
        <v>8</v>
      </c>
      <c r="E139" s="26">
        <v>45525</v>
      </c>
      <c r="F139" s="24" t="s">
        <v>397</v>
      </c>
      <c r="G139" s="26">
        <v>45525</v>
      </c>
      <c r="H139" s="26">
        <v>45537</v>
      </c>
      <c r="I139" s="120" t="s">
        <v>8</v>
      </c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168"/>
    </row>
    <row r="140" spans="1:23" ht="20.100000000000001" customHeight="1" x14ac:dyDescent="0.25">
      <c r="B140" s="56">
        <f t="shared" si="15"/>
        <v>101</v>
      </c>
      <c r="C140" s="170" t="s">
        <v>331</v>
      </c>
      <c r="D140" s="120" t="s">
        <v>8</v>
      </c>
      <c r="E140" s="26">
        <v>45517</v>
      </c>
      <c r="F140" s="24" t="s">
        <v>391</v>
      </c>
      <c r="G140" s="26">
        <v>45517</v>
      </c>
      <c r="H140" s="26">
        <v>45526</v>
      </c>
      <c r="I140" s="120" t="s">
        <v>8</v>
      </c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168"/>
    </row>
    <row r="141" spans="1:23" ht="20.100000000000001" customHeight="1" x14ac:dyDescent="0.25">
      <c r="B141" s="56">
        <f t="shared" si="15"/>
        <v>102</v>
      </c>
      <c r="C141" s="170" t="s">
        <v>332</v>
      </c>
      <c r="D141" s="120" t="s">
        <v>8</v>
      </c>
      <c r="E141" s="26">
        <v>45517</v>
      </c>
      <c r="F141" s="24" t="s">
        <v>392</v>
      </c>
      <c r="G141" s="26">
        <v>45517</v>
      </c>
      <c r="H141" s="26">
        <v>45526</v>
      </c>
      <c r="I141" s="120" t="s">
        <v>8</v>
      </c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168"/>
    </row>
    <row r="142" spans="1:23" ht="20.100000000000001" customHeight="1" x14ac:dyDescent="0.25">
      <c r="B142" s="56">
        <f t="shared" si="15"/>
        <v>103</v>
      </c>
      <c r="C142" s="170" t="s">
        <v>333</v>
      </c>
      <c r="D142" s="120" t="s">
        <v>8</v>
      </c>
      <c r="E142" s="26">
        <v>45517</v>
      </c>
      <c r="F142" s="24" t="s">
        <v>393</v>
      </c>
      <c r="G142" s="26">
        <v>45517</v>
      </c>
      <c r="H142" s="26">
        <v>45526</v>
      </c>
      <c r="I142" s="120" t="s">
        <v>8</v>
      </c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168"/>
    </row>
    <row r="143" spans="1:23" ht="20.100000000000001" customHeight="1" x14ac:dyDescent="0.25">
      <c r="B143" s="190" t="s">
        <v>1</v>
      </c>
      <c r="C143" s="72" t="s">
        <v>21</v>
      </c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4"/>
    </row>
    <row r="144" spans="1:23" ht="20.100000000000001" customHeight="1" x14ac:dyDescent="0.25">
      <c r="B144" s="56">
        <f>MAX(B129:B143)+1</f>
        <v>104</v>
      </c>
      <c r="C144" s="71" t="s">
        <v>430</v>
      </c>
      <c r="D144" s="55" t="s">
        <v>8</v>
      </c>
      <c r="E144" s="26">
        <v>45309</v>
      </c>
      <c r="F144" s="23" t="s">
        <v>317</v>
      </c>
      <c r="G144" s="26">
        <v>45307</v>
      </c>
      <c r="H144" s="26">
        <v>45309</v>
      </c>
      <c r="I144" s="120" t="s">
        <v>10</v>
      </c>
      <c r="J144" s="26">
        <v>45618</v>
      </c>
      <c r="K144" s="26">
        <v>45624</v>
      </c>
      <c r="L144" s="120" t="s">
        <v>8</v>
      </c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1"/>
    </row>
    <row r="145" spans="1:23" ht="20.100000000000001" customHeight="1" x14ac:dyDescent="0.25">
      <c r="B145" s="56">
        <f>MAX(B134:B144)+1</f>
        <v>105</v>
      </c>
      <c r="C145" s="71" t="s">
        <v>444</v>
      </c>
      <c r="D145" s="55" t="s">
        <v>8</v>
      </c>
      <c r="E145" s="26">
        <v>45309</v>
      </c>
      <c r="F145" s="23" t="s">
        <v>318</v>
      </c>
      <c r="G145" s="26">
        <v>45307</v>
      </c>
      <c r="H145" s="26">
        <v>45309</v>
      </c>
      <c r="I145" s="120" t="s">
        <v>10</v>
      </c>
      <c r="J145" s="26">
        <v>45618</v>
      </c>
      <c r="K145" s="26">
        <v>45624</v>
      </c>
      <c r="L145" s="120" t="s">
        <v>8</v>
      </c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1"/>
    </row>
    <row r="146" spans="1:23" ht="20.100000000000001" customHeight="1" x14ac:dyDescent="0.25">
      <c r="B146" s="56">
        <f>MAX(B135:B145)+1</f>
        <v>106</v>
      </c>
      <c r="C146" s="71" t="s">
        <v>291</v>
      </c>
      <c r="D146" s="166" t="s">
        <v>8</v>
      </c>
      <c r="E146" s="26">
        <v>45309</v>
      </c>
      <c r="F146" s="23" t="s">
        <v>319</v>
      </c>
      <c r="G146" s="26">
        <v>45307</v>
      </c>
      <c r="H146" s="26">
        <v>45309</v>
      </c>
      <c r="I146" s="120" t="s">
        <v>9</v>
      </c>
      <c r="J146" s="26">
        <v>45618</v>
      </c>
      <c r="K146" s="26">
        <v>45624</v>
      </c>
      <c r="L146" s="120" t="s">
        <v>8</v>
      </c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1"/>
    </row>
    <row r="147" spans="1:23" ht="20.100000000000001" customHeight="1" x14ac:dyDescent="0.25">
      <c r="B147" s="56">
        <f t="shared" ref="B147" si="16">MAX(B143:B146)+1</f>
        <v>107</v>
      </c>
      <c r="C147" s="71" t="s">
        <v>292</v>
      </c>
      <c r="D147" s="55" t="s">
        <v>8</v>
      </c>
      <c r="E147" s="26">
        <v>45309</v>
      </c>
      <c r="F147" s="23" t="s">
        <v>319</v>
      </c>
      <c r="G147" s="26">
        <v>45307</v>
      </c>
      <c r="H147" s="26">
        <v>45309</v>
      </c>
      <c r="I147" s="120" t="s">
        <v>8</v>
      </c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1"/>
    </row>
    <row r="148" spans="1:23" ht="20.100000000000001" customHeight="1" x14ac:dyDescent="0.25">
      <c r="B148" s="192" t="s">
        <v>0</v>
      </c>
      <c r="C148" s="123" t="s">
        <v>290</v>
      </c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8"/>
      <c r="V148" s="58"/>
      <c r="W148" s="58"/>
    </row>
    <row r="149" spans="1:23" s="152" customFormat="1" ht="20.100000000000001" customHeight="1" x14ac:dyDescent="0.25">
      <c r="A149" s="174"/>
      <c r="B149" s="193" t="s">
        <v>0</v>
      </c>
      <c r="C149" s="135" t="s">
        <v>20</v>
      </c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7"/>
      <c r="V149" s="137"/>
      <c r="W149" s="137"/>
    </row>
    <row r="150" spans="1:23" s="152" customFormat="1" ht="20.100000000000001" customHeight="1" x14ac:dyDescent="0.25">
      <c r="A150" s="174"/>
      <c r="B150" s="56">
        <f>MAX(B125:B149)+1</f>
        <v>108</v>
      </c>
      <c r="C150" s="71" t="s">
        <v>335</v>
      </c>
      <c r="D150" s="166" t="s">
        <v>9</v>
      </c>
      <c r="E150" s="26">
        <v>45532</v>
      </c>
      <c r="F150" s="23" t="s">
        <v>399</v>
      </c>
      <c r="G150" s="26">
        <v>45532</v>
      </c>
      <c r="H150" s="26">
        <v>45537</v>
      </c>
      <c r="I150" s="55" t="s">
        <v>9</v>
      </c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30"/>
      <c r="V150" s="30"/>
      <c r="W150" s="30"/>
    </row>
    <row r="151" spans="1:23" s="152" customFormat="1" ht="20.100000000000001" customHeight="1" x14ac:dyDescent="0.25">
      <c r="A151" s="174"/>
      <c r="B151" s="56">
        <f>MAX(B126:B150)+1</f>
        <v>109</v>
      </c>
      <c r="C151" s="71" t="s">
        <v>330</v>
      </c>
      <c r="D151" s="55" t="s">
        <v>10</v>
      </c>
      <c r="E151" s="26">
        <v>45532</v>
      </c>
      <c r="F151" s="23" t="s">
        <v>400</v>
      </c>
      <c r="G151" s="26">
        <v>45532</v>
      </c>
      <c r="H151" s="26">
        <v>45540</v>
      </c>
      <c r="I151" s="55" t="s">
        <v>10</v>
      </c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30"/>
      <c r="V151" s="30"/>
      <c r="W151" s="30"/>
    </row>
    <row r="152" spans="1:23" s="152" customFormat="1" ht="20.100000000000001" customHeight="1" x14ac:dyDescent="0.25">
      <c r="A152" s="174"/>
      <c r="B152" s="56">
        <f t="shared" ref="B152:B156" si="17">MAX(B148:B151)+1</f>
        <v>110</v>
      </c>
      <c r="C152" s="71" t="s">
        <v>312</v>
      </c>
      <c r="D152" s="55" t="s">
        <v>8</v>
      </c>
      <c r="E152" s="26">
        <v>45532</v>
      </c>
      <c r="F152" s="23" t="s">
        <v>401</v>
      </c>
      <c r="G152" s="26">
        <v>45532</v>
      </c>
      <c r="H152" s="26">
        <v>45540</v>
      </c>
      <c r="I152" s="55" t="s">
        <v>8</v>
      </c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30"/>
      <c r="V152" s="30"/>
      <c r="W152" s="30"/>
    </row>
    <row r="153" spans="1:23" s="152" customFormat="1" ht="20.100000000000001" customHeight="1" x14ac:dyDescent="0.25">
      <c r="A153" s="174"/>
      <c r="B153" s="56">
        <f t="shared" si="17"/>
        <v>111</v>
      </c>
      <c r="C153" s="71" t="s">
        <v>331</v>
      </c>
      <c r="D153" s="55" t="s">
        <v>8</v>
      </c>
      <c r="E153" s="26">
        <v>45532</v>
      </c>
      <c r="F153" s="23" t="s">
        <v>402</v>
      </c>
      <c r="G153" s="26">
        <v>45532</v>
      </c>
      <c r="H153" s="26">
        <v>45540</v>
      </c>
      <c r="I153" s="55" t="s">
        <v>8</v>
      </c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30"/>
      <c r="V153" s="30"/>
      <c r="W153" s="30"/>
    </row>
    <row r="154" spans="1:23" s="152" customFormat="1" ht="20.100000000000001" customHeight="1" x14ac:dyDescent="0.25">
      <c r="A154" s="174"/>
      <c r="B154" s="56">
        <f t="shared" si="17"/>
        <v>112</v>
      </c>
      <c r="C154" s="71" t="s">
        <v>332</v>
      </c>
      <c r="D154" s="55" t="s">
        <v>8</v>
      </c>
      <c r="E154" s="26">
        <v>45532</v>
      </c>
      <c r="F154" s="23" t="s">
        <v>403</v>
      </c>
      <c r="G154" s="26">
        <v>45532</v>
      </c>
      <c r="H154" s="26">
        <v>45540</v>
      </c>
      <c r="I154" s="55" t="s">
        <v>8</v>
      </c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30"/>
      <c r="V154" s="30"/>
      <c r="W154" s="30"/>
    </row>
    <row r="155" spans="1:23" s="152" customFormat="1" ht="20.100000000000001" customHeight="1" x14ac:dyDescent="0.25">
      <c r="A155" s="174"/>
      <c r="B155" s="56">
        <f t="shared" si="17"/>
        <v>113</v>
      </c>
      <c r="C155" s="71" t="s">
        <v>333</v>
      </c>
      <c r="D155" s="55" t="s">
        <v>8</v>
      </c>
      <c r="E155" s="26">
        <v>45532</v>
      </c>
      <c r="F155" s="23" t="s">
        <v>404</v>
      </c>
      <c r="G155" s="26">
        <v>45532</v>
      </c>
      <c r="H155" s="26">
        <v>45540</v>
      </c>
      <c r="I155" s="55" t="s">
        <v>8</v>
      </c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30"/>
      <c r="V155" s="30"/>
      <c r="W155" s="30"/>
    </row>
    <row r="156" spans="1:23" s="152" customFormat="1" ht="20.100000000000001" customHeight="1" x14ac:dyDescent="0.25">
      <c r="A156" s="174"/>
      <c r="B156" s="56">
        <f t="shared" si="17"/>
        <v>114</v>
      </c>
      <c r="C156" s="71" t="s">
        <v>334</v>
      </c>
      <c r="D156" s="55" t="s">
        <v>8</v>
      </c>
      <c r="E156" s="26">
        <v>45532</v>
      </c>
      <c r="F156" s="23" t="s">
        <v>398</v>
      </c>
      <c r="G156" s="26">
        <v>45532</v>
      </c>
      <c r="H156" s="26">
        <v>45540</v>
      </c>
      <c r="I156" s="55" t="s">
        <v>8</v>
      </c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30"/>
      <c r="V156" s="30"/>
      <c r="W156" s="30"/>
    </row>
    <row r="157" spans="1:23" ht="20.100000000000001" customHeight="1" x14ac:dyDescent="0.25">
      <c r="B157" s="190" t="s">
        <v>1</v>
      </c>
      <c r="C157" s="72" t="s">
        <v>21</v>
      </c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4"/>
    </row>
    <row r="158" spans="1:23" s="152" customFormat="1" ht="20.100000000000001" customHeight="1" x14ac:dyDescent="0.25">
      <c r="A158" s="174"/>
      <c r="B158" s="56">
        <f t="shared" ref="B158:B160" si="18">MAX(B156:B157)+1</f>
        <v>115</v>
      </c>
      <c r="C158" s="71" t="s">
        <v>287</v>
      </c>
      <c r="D158" s="166" t="s">
        <v>9</v>
      </c>
      <c r="E158" s="26">
        <v>45309</v>
      </c>
      <c r="F158" s="23" t="s">
        <v>321</v>
      </c>
      <c r="G158" s="26">
        <v>45307</v>
      </c>
      <c r="H158" s="26">
        <v>45309</v>
      </c>
      <c r="I158" s="120" t="s">
        <v>9</v>
      </c>
      <c r="J158" s="23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30"/>
      <c r="V158" s="30"/>
      <c r="W158" s="30"/>
    </row>
    <row r="159" spans="1:23" s="152" customFormat="1" ht="20.100000000000001" customHeight="1" x14ac:dyDescent="0.25">
      <c r="A159" s="174"/>
      <c r="B159" s="56">
        <f t="shared" si="18"/>
        <v>116</v>
      </c>
      <c r="C159" s="71" t="s">
        <v>445</v>
      </c>
      <c r="D159" s="55" t="s">
        <v>8</v>
      </c>
      <c r="E159" s="26">
        <v>45309</v>
      </c>
      <c r="F159" s="23" t="s">
        <v>322</v>
      </c>
      <c r="G159" s="26">
        <v>45307</v>
      </c>
      <c r="H159" s="26">
        <v>45309</v>
      </c>
      <c r="I159" s="120" t="s">
        <v>8</v>
      </c>
      <c r="J159" s="23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30"/>
      <c r="V159" s="30"/>
      <c r="W159" s="30"/>
    </row>
    <row r="160" spans="1:23" s="152" customFormat="1" ht="20.100000000000001" customHeight="1" x14ac:dyDescent="0.25">
      <c r="A160" s="174"/>
      <c r="B160" s="56">
        <f t="shared" si="18"/>
        <v>117</v>
      </c>
      <c r="C160" s="71" t="s">
        <v>307</v>
      </c>
      <c r="D160" s="55" t="s">
        <v>8</v>
      </c>
      <c r="E160" s="26">
        <v>45309</v>
      </c>
      <c r="F160" s="23" t="s">
        <v>323</v>
      </c>
      <c r="G160" s="26">
        <v>45307</v>
      </c>
      <c r="H160" s="26">
        <v>45309</v>
      </c>
      <c r="I160" s="120" t="s">
        <v>8</v>
      </c>
      <c r="J160" s="23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30"/>
      <c r="V160" s="30"/>
      <c r="W160" s="30"/>
    </row>
    <row r="161" spans="1:23" s="152" customFormat="1" ht="20.100000000000001" customHeight="1" x14ac:dyDescent="0.25">
      <c r="A161" s="174"/>
      <c r="B161" s="191" t="s">
        <v>143</v>
      </c>
      <c r="C161" s="135" t="s">
        <v>22</v>
      </c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7"/>
      <c r="V161" s="137"/>
      <c r="W161" s="137"/>
    </row>
    <row r="162" spans="1:23" ht="20.100000000000001" customHeight="1" x14ac:dyDescent="0.25">
      <c r="B162" s="56">
        <f>MAX(B158:B160)+1</f>
        <v>118</v>
      </c>
      <c r="C162" s="71" t="s">
        <v>552</v>
      </c>
      <c r="D162" s="24" t="s">
        <v>8</v>
      </c>
      <c r="E162" s="27">
        <v>45615</v>
      </c>
      <c r="F162" s="24" t="s">
        <v>500</v>
      </c>
      <c r="G162" s="27">
        <v>45615</v>
      </c>
      <c r="H162" s="27">
        <v>45631</v>
      </c>
      <c r="I162" s="24" t="s">
        <v>8</v>
      </c>
      <c r="J162" s="24"/>
      <c r="K162" s="24"/>
      <c r="L162" s="89"/>
      <c r="M162" s="24"/>
      <c r="N162" s="23"/>
      <c r="O162" s="23"/>
      <c r="P162" s="23"/>
      <c r="Q162" s="23"/>
      <c r="R162" s="23"/>
      <c r="S162" s="23"/>
      <c r="T162" s="23"/>
      <c r="U162" s="23"/>
      <c r="V162" s="23"/>
      <c r="W162" s="21"/>
    </row>
    <row r="163" spans="1:23" ht="20.100000000000001" customHeight="1" x14ac:dyDescent="0.25">
      <c r="B163" s="56">
        <f>MAX(B159:B162)+1</f>
        <v>119</v>
      </c>
      <c r="C163" s="71" t="s">
        <v>553</v>
      </c>
      <c r="D163" s="24" t="s">
        <v>8</v>
      </c>
      <c r="E163" s="27">
        <v>45615</v>
      </c>
      <c r="F163" s="24" t="s">
        <v>502</v>
      </c>
      <c r="G163" s="27">
        <v>45615</v>
      </c>
      <c r="H163" s="27">
        <v>45631</v>
      </c>
      <c r="I163" s="24" t="s">
        <v>8</v>
      </c>
      <c r="J163" s="27"/>
      <c r="K163" s="27"/>
      <c r="L163" s="24"/>
      <c r="M163" s="24"/>
      <c r="N163" s="23"/>
      <c r="O163" s="23"/>
      <c r="P163" s="23"/>
      <c r="Q163" s="23"/>
      <c r="R163" s="23"/>
      <c r="S163" s="23"/>
      <c r="T163" s="23"/>
      <c r="U163" s="23"/>
      <c r="V163" s="23"/>
      <c r="W163" s="21"/>
    </row>
    <row r="164" spans="1:23" ht="20.100000000000001" customHeight="1" x14ac:dyDescent="0.25">
      <c r="B164" s="56">
        <f>MAX(B160:B163)+1</f>
        <v>120</v>
      </c>
      <c r="C164" s="71" t="s">
        <v>554</v>
      </c>
      <c r="D164" s="24" t="s">
        <v>10</v>
      </c>
      <c r="E164" s="27">
        <v>45633</v>
      </c>
      <c r="F164" s="24" t="s">
        <v>504</v>
      </c>
      <c r="G164" s="27">
        <v>45633</v>
      </c>
      <c r="H164" s="27">
        <v>45645</v>
      </c>
      <c r="I164" s="24" t="s">
        <v>10</v>
      </c>
      <c r="J164" s="27"/>
      <c r="K164" s="27"/>
      <c r="L164" s="24"/>
      <c r="M164" s="24"/>
      <c r="N164" s="23"/>
      <c r="O164" s="23"/>
      <c r="P164" s="23"/>
      <c r="Q164" s="23"/>
      <c r="R164" s="23"/>
      <c r="S164" s="23"/>
      <c r="T164" s="23"/>
      <c r="U164" s="23"/>
      <c r="V164" s="23"/>
      <c r="W164" s="21"/>
    </row>
    <row r="165" spans="1:23" ht="20.100000000000001" customHeight="1" x14ac:dyDescent="0.25">
      <c r="B165" s="192" t="s">
        <v>27</v>
      </c>
      <c r="C165" s="123" t="s">
        <v>327</v>
      </c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8"/>
      <c r="V165" s="58"/>
      <c r="W165" s="58"/>
    </row>
    <row r="166" spans="1:23" s="152" customFormat="1" ht="20.100000000000001" customHeight="1" x14ac:dyDescent="0.25">
      <c r="A166" s="174"/>
      <c r="B166" s="193" t="s">
        <v>0</v>
      </c>
      <c r="C166" s="135" t="s">
        <v>20</v>
      </c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7"/>
      <c r="V166" s="137"/>
      <c r="W166" s="137"/>
    </row>
    <row r="167" spans="1:23" s="152" customFormat="1" ht="20.100000000000001" customHeight="1" x14ac:dyDescent="0.25">
      <c r="A167" s="174"/>
      <c r="B167" s="56">
        <f>MAX(B145:B166)+1</f>
        <v>121</v>
      </c>
      <c r="C167" s="71" t="s">
        <v>343</v>
      </c>
      <c r="D167" s="166" t="s">
        <v>9</v>
      </c>
      <c r="E167" s="167">
        <v>45545</v>
      </c>
      <c r="F167" s="23" t="s">
        <v>405</v>
      </c>
      <c r="G167" s="167">
        <v>45545</v>
      </c>
      <c r="H167" s="167">
        <v>45554</v>
      </c>
      <c r="I167" s="55" t="s">
        <v>9</v>
      </c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30"/>
      <c r="V167" s="30"/>
      <c r="W167" s="30"/>
    </row>
    <row r="168" spans="1:23" s="152" customFormat="1" ht="20.100000000000001" customHeight="1" x14ac:dyDescent="0.25">
      <c r="A168" s="174"/>
      <c r="B168" s="56">
        <f>MAX(B146:B167)+1</f>
        <v>122</v>
      </c>
      <c r="C168" s="71" t="s">
        <v>349</v>
      </c>
      <c r="D168" s="166" t="s">
        <v>9</v>
      </c>
      <c r="E168" s="167">
        <v>45545</v>
      </c>
      <c r="F168" s="23" t="s">
        <v>406</v>
      </c>
      <c r="G168" s="167">
        <v>45545</v>
      </c>
      <c r="H168" s="167">
        <v>45554</v>
      </c>
      <c r="I168" s="55" t="s">
        <v>9</v>
      </c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30"/>
      <c r="V168" s="30"/>
      <c r="W168" s="30"/>
    </row>
    <row r="169" spans="1:23" s="152" customFormat="1" ht="20.100000000000001" customHeight="1" x14ac:dyDescent="0.25">
      <c r="A169" s="174"/>
      <c r="B169" s="56">
        <f t="shared" ref="B169:B173" si="19">MAX(B165:B168)+1</f>
        <v>123</v>
      </c>
      <c r="C169" s="71" t="s">
        <v>348</v>
      </c>
      <c r="D169" s="166" t="s">
        <v>9</v>
      </c>
      <c r="E169" s="167">
        <v>45545</v>
      </c>
      <c r="F169" s="23" t="s">
        <v>407</v>
      </c>
      <c r="G169" s="167">
        <v>45545</v>
      </c>
      <c r="H169" s="167">
        <v>45554</v>
      </c>
      <c r="I169" s="55" t="s">
        <v>9</v>
      </c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30"/>
      <c r="V169" s="30"/>
      <c r="W169" s="30"/>
    </row>
    <row r="170" spans="1:23" s="152" customFormat="1" ht="20.100000000000001" customHeight="1" x14ac:dyDescent="0.25">
      <c r="A170" s="174"/>
      <c r="B170" s="56">
        <f t="shared" si="19"/>
        <v>124</v>
      </c>
      <c r="C170" s="71" t="s">
        <v>344</v>
      </c>
      <c r="D170" s="166" t="s">
        <v>9</v>
      </c>
      <c r="E170" s="167">
        <v>45545</v>
      </c>
      <c r="F170" s="23" t="s">
        <v>408</v>
      </c>
      <c r="G170" s="167">
        <v>45545</v>
      </c>
      <c r="H170" s="167">
        <v>45554</v>
      </c>
      <c r="I170" s="55" t="s">
        <v>9</v>
      </c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30"/>
      <c r="V170" s="30"/>
      <c r="W170" s="30"/>
    </row>
    <row r="171" spans="1:23" s="152" customFormat="1" ht="20.100000000000001" customHeight="1" x14ac:dyDescent="0.25">
      <c r="A171" s="174"/>
      <c r="B171" s="56">
        <f t="shared" si="19"/>
        <v>125</v>
      </c>
      <c r="C171" s="71" t="s">
        <v>331</v>
      </c>
      <c r="D171" s="55" t="s">
        <v>8</v>
      </c>
      <c r="E171" s="167">
        <v>45545</v>
      </c>
      <c r="F171" s="23" t="s">
        <v>409</v>
      </c>
      <c r="G171" s="167">
        <v>45545</v>
      </c>
      <c r="H171" s="167">
        <v>45554</v>
      </c>
      <c r="I171" s="55" t="s">
        <v>8</v>
      </c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30"/>
      <c r="V171" s="30"/>
      <c r="W171" s="30"/>
    </row>
    <row r="172" spans="1:23" s="152" customFormat="1" ht="20.100000000000001" customHeight="1" x14ac:dyDescent="0.25">
      <c r="A172" s="174"/>
      <c r="B172" s="56">
        <f t="shared" si="19"/>
        <v>126</v>
      </c>
      <c r="C172" s="71" t="s">
        <v>332</v>
      </c>
      <c r="D172" s="55" t="s">
        <v>8</v>
      </c>
      <c r="E172" s="167">
        <v>45545</v>
      </c>
      <c r="F172" s="23" t="s">
        <v>410</v>
      </c>
      <c r="G172" s="167">
        <v>45545</v>
      </c>
      <c r="H172" s="167">
        <v>45554</v>
      </c>
      <c r="I172" s="55" t="s">
        <v>8</v>
      </c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30"/>
      <c r="V172" s="30"/>
      <c r="W172" s="30"/>
    </row>
    <row r="173" spans="1:23" s="152" customFormat="1" ht="20.100000000000001" customHeight="1" x14ac:dyDescent="0.25">
      <c r="A173" s="174"/>
      <c r="B173" s="56">
        <f t="shared" si="19"/>
        <v>127</v>
      </c>
      <c r="C173" s="71" t="s">
        <v>333</v>
      </c>
      <c r="D173" s="55" t="s">
        <v>8</v>
      </c>
      <c r="E173" s="167">
        <v>45545</v>
      </c>
      <c r="F173" s="23" t="s">
        <v>411</v>
      </c>
      <c r="G173" s="167">
        <v>45545</v>
      </c>
      <c r="H173" s="167">
        <v>45554</v>
      </c>
      <c r="I173" s="55" t="s">
        <v>8</v>
      </c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30"/>
      <c r="V173" s="30"/>
      <c r="W173" s="30"/>
    </row>
    <row r="174" spans="1:23" ht="20.100000000000001" customHeight="1" x14ac:dyDescent="0.25">
      <c r="B174" s="190" t="s">
        <v>1</v>
      </c>
      <c r="C174" s="72" t="s">
        <v>21</v>
      </c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4"/>
    </row>
    <row r="175" spans="1:23" ht="20.100000000000001" customHeight="1" x14ac:dyDescent="0.25">
      <c r="B175" s="56">
        <f>MAX(B171:B174)+1</f>
        <v>128</v>
      </c>
      <c r="C175" s="71" t="s">
        <v>443</v>
      </c>
      <c r="D175" s="120" t="s">
        <v>10</v>
      </c>
      <c r="E175" s="26">
        <v>45307</v>
      </c>
      <c r="F175" s="23" t="s">
        <v>324</v>
      </c>
      <c r="G175" s="26">
        <v>45307</v>
      </c>
      <c r="H175" s="26">
        <v>45309</v>
      </c>
      <c r="I175" s="120" t="s">
        <v>10</v>
      </c>
      <c r="J175" s="167"/>
      <c r="K175" s="167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1"/>
    </row>
    <row r="176" spans="1:23" ht="20.100000000000001" customHeight="1" x14ac:dyDescent="0.25">
      <c r="B176" s="56">
        <f>MAX(B172:B175)+1</f>
        <v>129</v>
      </c>
      <c r="C176" s="71" t="s">
        <v>288</v>
      </c>
      <c r="D176" s="172" t="s">
        <v>9</v>
      </c>
      <c r="E176" s="26">
        <v>45307</v>
      </c>
      <c r="F176" s="23" t="s">
        <v>325</v>
      </c>
      <c r="G176" s="26">
        <v>45307</v>
      </c>
      <c r="H176" s="26">
        <v>45309</v>
      </c>
      <c r="I176" s="120" t="s">
        <v>9</v>
      </c>
      <c r="J176" s="120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1"/>
    </row>
    <row r="177" spans="1:23" s="173" customFormat="1" ht="20.100000000000001" customHeight="1" x14ac:dyDescent="0.25">
      <c r="A177" s="229"/>
      <c r="B177" s="56">
        <f>MAX(B173:B176)+1</f>
        <v>130</v>
      </c>
      <c r="C177" s="71" t="s">
        <v>320</v>
      </c>
      <c r="D177" s="166" t="s">
        <v>9</v>
      </c>
      <c r="E177" s="26">
        <v>45307</v>
      </c>
      <c r="F177" s="23" t="s">
        <v>326</v>
      </c>
      <c r="G177" s="26">
        <v>45307</v>
      </c>
      <c r="H177" s="26">
        <v>45309</v>
      </c>
      <c r="I177" s="120" t="s">
        <v>9</v>
      </c>
      <c r="J177" s="120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1"/>
    </row>
    <row r="178" spans="1:23" ht="20.100000000000001" customHeight="1" x14ac:dyDescent="0.25">
      <c r="B178" s="195" t="s">
        <v>28</v>
      </c>
      <c r="C178" s="163" t="s">
        <v>86</v>
      </c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5"/>
      <c r="V178" s="165"/>
      <c r="W178" s="165"/>
    </row>
    <row r="179" spans="1:23" s="152" customFormat="1" ht="20.100000000000001" customHeight="1" x14ac:dyDescent="0.25">
      <c r="A179" s="174"/>
      <c r="B179" s="193" t="s">
        <v>0</v>
      </c>
      <c r="C179" s="135" t="s">
        <v>20</v>
      </c>
      <c r="D179" s="136"/>
      <c r="E179" s="184"/>
      <c r="F179" s="185"/>
      <c r="G179" s="184"/>
      <c r="H179" s="136"/>
      <c r="I179" s="136"/>
      <c r="J179" s="136"/>
      <c r="K179" s="136"/>
      <c r="L179" s="136"/>
      <c r="M179" s="186"/>
      <c r="N179" s="136"/>
      <c r="O179" s="136"/>
      <c r="P179" s="136"/>
      <c r="Q179" s="136"/>
      <c r="R179" s="136"/>
      <c r="S179" s="136"/>
      <c r="T179" s="136"/>
      <c r="U179" s="137"/>
      <c r="V179" s="137"/>
      <c r="W179" s="137"/>
    </row>
    <row r="180" spans="1:23" s="152" customFormat="1" ht="20.100000000000001" customHeight="1" x14ac:dyDescent="0.25">
      <c r="A180" s="174"/>
      <c r="B180" s="56">
        <f>MAX(B176:B179)+1</f>
        <v>131</v>
      </c>
      <c r="C180" s="71" t="s">
        <v>374</v>
      </c>
      <c r="D180" s="55" t="s">
        <v>8</v>
      </c>
      <c r="E180" s="26">
        <v>45562</v>
      </c>
      <c r="F180" s="23" t="s">
        <v>413</v>
      </c>
      <c r="G180" s="26">
        <v>45562</v>
      </c>
      <c r="H180" s="26">
        <v>45582</v>
      </c>
      <c r="I180" s="55" t="s">
        <v>8</v>
      </c>
      <c r="J180" s="47"/>
      <c r="K180" s="47"/>
      <c r="L180" s="47"/>
      <c r="M180" s="175"/>
      <c r="N180" s="47"/>
      <c r="O180" s="47"/>
      <c r="P180" s="47"/>
      <c r="Q180" s="47"/>
      <c r="R180" s="47"/>
      <c r="S180" s="47"/>
      <c r="T180" s="47"/>
      <c r="U180" s="30"/>
      <c r="V180" s="30"/>
      <c r="W180" s="30"/>
    </row>
    <row r="181" spans="1:23" s="152" customFormat="1" ht="20.100000000000001" customHeight="1" x14ac:dyDescent="0.25">
      <c r="A181" s="174"/>
      <c r="B181" s="56">
        <f t="shared" ref="B181:B183" si="20">MAX(B177:B180)+1</f>
        <v>132</v>
      </c>
      <c r="C181" s="71" t="s">
        <v>330</v>
      </c>
      <c r="D181" s="55" t="s">
        <v>8</v>
      </c>
      <c r="E181" s="26">
        <v>45596</v>
      </c>
      <c r="F181" s="23" t="s">
        <v>486</v>
      </c>
      <c r="G181" s="26">
        <v>45596</v>
      </c>
      <c r="H181" s="26">
        <v>45600</v>
      </c>
      <c r="I181" s="55" t="s">
        <v>10</v>
      </c>
      <c r="J181" s="26">
        <v>45629</v>
      </c>
      <c r="K181" s="26">
        <v>45631</v>
      </c>
      <c r="L181" s="55" t="s">
        <v>8</v>
      </c>
      <c r="M181" s="47"/>
      <c r="N181" s="47"/>
      <c r="O181" s="47"/>
      <c r="P181" s="47"/>
      <c r="Q181" s="47"/>
      <c r="R181" s="47"/>
      <c r="S181" s="47"/>
      <c r="T181" s="47"/>
      <c r="U181" s="30"/>
      <c r="V181" s="30"/>
      <c r="W181" s="30"/>
    </row>
    <row r="182" spans="1:23" s="152" customFormat="1" ht="20.100000000000001" customHeight="1" x14ac:dyDescent="0.25">
      <c r="A182" s="174"/>
      <c r="B182" s="56">
        <f t="shared" si="20"/>
        <v>133</v>
      </c>
      <c r="C182" s="71" t="s">
        <v>484</v>
      </c>
      <c r="D182" s="55" t="s">
        <v>9</v>
      </c>
      <c r="E182" s="26">
        <v>45596</v>
      </c>
      <c r="F182" s="23" t="s">
        <v>485</v>
      </c>
      <c r="G182" s="26">
        <v>45596</v>
      </c>
      <c r="H182" s="26">
        <v>45614</v>
      </c>
      <c r="I182" s="55" t="s">
        <v>9</v>
      </c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30"/>
      <c r="V182" s="30"/>
      <c r="W182" s="30"/>
    </row>
    <row r="183" spans="1:23" s="152" customFormat="1" ht="20.100000000000001" customHeight="1" x14ac:dyDescent="0.25">
      <c r="A183" s="174"/>
      <c r="B183" s="56">
        <f t="shared" si="20"/>
        <v>134</v>
      </c>
      <c r="C183" s="71" t="s">
        <v>312</v>
      </c>
      <c r="D183" s="55" t="s">
        <v>8</v>
      </c>
      <c r="E183" s="26">
        <v>45596</v>
      </c>
      <c r="F183" s="23" t="s">
        <v>487</v>
      </c>
      <c r="G183" s="26">
        <v>45596</v>
      </c>
      <c r="H183" s="26">
        <v>45614</v>
      </c>
      <c r="I183" s="55" t="s">
        <v>8</v>
      </c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30"/>
      <c r="V183" s="30"/>
      <c r="W183" s="30"/>
    </row>
    <row r="184" spans="1:23" s="152" customFormat="1" ht="20.100000000000001" customHeight="1" x14ac:dyDescent="0.25">
      <c r="A184" s="174"/>
      <c r="B184" s="56">
        <f>MAX(B179:B183)+1</f>
        <v>135</v>
      </c>
      <c r="C184" s="71" t="s">
        <v>415</v>
      </c>
      <c r="D184" s="55" t="s">
        <v>8</v>
      </c>
      <c r="E184" s="26">
        <v>45562</v>
      </c>
      <c r="F184" s="23" t="s">
        <v>416</v>
      </c>
      <c r="G184" s="26">
        <v>45562</v>
      </c>
      <c r="H184" s="26">
        <v>45582</v>
      </c>
      <c r="I184" s="55" t="s">
        <v>8</v>
      </c>
      <c r="J184" s="47"/>
      <c r="K184" s="47"/>
      <c r="L184" s="47"/>
      <c r="M184" s="175"/>
      <c r="N184" s="47"/>
      <c r="O184" s="47"/>
      <c r="P184" s="47"/>
      <c r="Q184" s="47"/>
      <c r="R184" s="47"/>
      <c r="S184" s="47"/>
      <c r="T184" s="47"/>
      <c r="U184" s="30"/>
      <c r="V184" s="30"/>
      <c r="W184" s="30"/>
    </row>
    <row r="185" spans="1:23" s="152" customFormat="1" ht="20.100000000000001" customHeight="1" x14ac:dyDescent="0.25">
      <c r="A185" s="174"/>
      <c r="B185" s="56">
        <f>MAX(B180:B184)+1</f>
        <v>136</v>
      </c>
      <c r="C185" s="71" t="s">
        <v>375</v>
      </c>
      <c r="D185" s="55" t="s">
        <v>8</v>
      </c>
      <c r="E185" s="26">
        <v>45562</v>
      </c>
      <c r="F185" s="23" t="s">
        <v>417</v>
      </c>
      <c r="G185" s="26">
        <v>45562</v>
      </c>
      <c r="H185" s="26">
        <v>45582</v>
      </c>
      <c r="I185" s="55" t="s">
        <v>8</v>
      </c>
      <c r="J185" s="47"/>
      <c r="K185" s="47"/>
      <c r="L185" s="47"/>
      <c r="M185" s="175"/>
      <c r="N185" s="47"/>
      <c r="O185" s="47"/>
      <c r="P185" s="47"/>
      <c r="Q185" s="47"/>
      <c r="R185" s="47"/>
      <c r="S185" s="47"/>
      <c r="T185" s="47"/>
      <c r="U185" s="30"/>
      <c r="V185" s="30"/>
      <c r="W185" s="30"/>
    </row>
    <row r="186" spans="1:23" s="152" customFormat="1" ht="20.100000000000001" customHeight="1" x14ac:dyDescent="0.25">
      <c r="A186" s="174"/>
      <c r="B186" s="56">
        <f>MAX(B184:B185)+1</f>
        <v>137</v>
      </c>
      <c r="C186" s="71" t="s">
        <v>376</v>
      </c>
      <c r="D186" s="55" t="s">
        <v>8</v>
      </c>
      <c r="E186" s="26">
        <v>45562</v>
      </c>
      <c r="F186" s="23" t="s">
        <v>418</v>
      </c>
      <c r="G186" s="26">
        <v>45562</v>
      </c>
      <c r="H186" s="26">
        <v>45582</v>
      </c>
      <c r="I186" s="55" t="s">
        <v>8</v>
      </c>
      <c r="J186" s="47"/>
      <c r="K186" s="47"/>
      <c r="L186" s="47"/>
      <c r="M186" s="175"/>
      <c r="N186" s="47"/>
      <c r="O186" s="47"/>
      <c r="P186" s="47"/>
      <c r="Q186" s="47"/>
      <c r="R186" s="47"/>
      <c r="S186" s="47"/>
      <c r="T186" s="47"/>
      <c r="U186" s="30"/>
      <c r="V186" s="30"/>
      <c r="W186" s="30"/>
    </row>
    <row r="187" spans="1:23" s="152" customFormat="1" ht="20.100000000000001" customHeight="1" x14ac:dyDescent="0.25">
      <c r="A187" s="174"/>
      <c r="B187" s="56">
        <f>MAX(B184:B186)+1</f>
        <v>138</v>
      </c>
      <c r="C187" s="71" t="s">
        <v>377</v>
      </c>
      <c r="D187" s="55" t="s">
        <v>8</v>
      </c>
      <c r="E187" s="26">
        <v>45562</v>
      </c>
      <c r="F187" s="23" t="s">
        <v>419</v>
      </c>
      <c r="G187" s="26">
        <v>45562</v>
      </c>
      <c r="H187" s="26">
        <v>45582</v>
      </c>
      <c r="I187" s="55" t="s">
        <v>8</v>
      </c>
      <c r="J187" s="47"/>
      <c r="K187" s="47"/>
      <c r="L187" s="47"/>
      <c r="M187" s="175"/>
      <c r="N187" s="47"/>
      <c r="O187" s="47"/>
      <c r="P187" s="47"/>
      <c r="Q187" s="47"/>
      <c r="R187" s="47"/>
      <c r="S187" s="47"/>
      <c r="T187" s="47"/>
      <c r="U187" s="30"/>
      <c r="V187" s="30"/>
      <c r="W187" s="30"/>
    </row>
    <row r="188" spans="1:23" s="152" customFormat="1" ht="20.100000000000001" customHeight="1" x14ac:dyDescent="0.25">
      <c r="A188" s="174"/>
      <c r="B188" s="56">
        <f>MAX(B184:B187)+1</f>
        <v>139</v>
      </c>
      <c r="C188" s="71" t="s">
        <v>378</v>
      </c>
      <c r="D188" s="55" t="s">
        <v>8</v>
      </c>
      <c r="E188" s="26">
        <v>45562</v>
      </c>
      <c r="F188" s="23" t="s">
        <v>420</v>
      </c>
      <c r="G188" s="26">
        <v>45562</v>
      </c>
      <c r="H188" s="26">
        <v>45582</v>
      </c>
      <c r="I188" s="55" t="s">
        <v>8</v>
      </c>
      <c r="J188" s="47"/>
      <c r="K188" s="47"/>
      <c r="L188" s="47"/>
      <c r="M188" s="175"/>
      <c r="N188" s="47"/>
      <c r="O188" s="47"/>
      <c r="P188" s="47"/>
      <c r="Q188" s="47"/>
      <c r="R188" s="47"/>
      <c r="S188" s="47"/>
      <c r="T188" s="47"/>
      <c r="U188" s="30"/>
      <c r="V188" s="30"/>
      <c r="W188" s="30"/>
    </row>
    <row r="189" spans="1:23" ht="20.100000000000001" customHeight="1" x14ac:dyDescent="0.25">
      <c r="B189" s="190" t="s">
        <v>1</v>
      </c>
      <c r="C189" s="72" t="s">
        <v>21</v>
      </c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4"/>
    </row>
    <row r="190" spans="1:23" s="152" customFormat="1" ht="20.100000000000001" customHeight="1" x14ac:dyDescent="0.25">
      <c r="A190" s="174"/>
      <c r="B190" s="56">
        <f>MAX(B176:B189)+1</f>
        <v>140</v>
      </c>
      <c r="C190" s="71" t="s">
        <v>379</v>
      </c>
      <c r="D190" s="166" t="s">
        <v>9</v>
      </c>
      <c r="E190" s="167">
        <v>45526</v>
      </c>
      <c r="F190" s="23" t="s">
        <v>364</v>
      </c>
      <c r="G190" s="167">
        <v>45405</v>
      </c>
      <c r="H190" s="167">
        <v>45407</v>
      </c>
      <c r="I190" s="120" t="s">
        <v>10</v>
      </c>
      <c r="J190" s="167">
        <v>45517</v>
      </c>
      <c r="K190" s="167">
        <v>45526</v>
      </c>
      <c r="L190" s="166" t="s">
        <v>9</v>
      </c>
      <c r="M190" s="47"/>
      <c r="N190" s="47"/>
      <c r="O190" s="47"/>
      <c r="P190" s="47"/>
      <c r="Q190" s="47"/>
      <c r="R190" s="47"/>
      <c r="S190" s="47"/>
      <c r="T190" s="47"/>
      <c r="U190" s="30"/>
      <c r="V190" s="30"/>
      <c r="W190" s="30"/>
    </row>
    <row r="191" spans="1:23" s="152" customFormat="1" ht="20.100000000000001" customHeight="1" x14ac:dyDescent="0.25">
      <c r="A191" s="174"/>
      <c r="B191" s="191" t="s">
        <v>143</v>
      </c>
      <c r="C191" s="135" t="s">
        <v>22</v>
      </c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7"/>
      <c r="V191" s="137"/>
      <c r="W191" s="137"/>
    </row>
    <row r="192" spans="1:23" ht="20.100000000000001" customHeight="1" x14ac:dyDescent="0.25">
      <c r="B192" s="56">
        <f>MAX(B178:B191)+1</f>
        <v>141</v>
      </c>
      <c r="C192" s="170" t="s">
        <v>507</v>
      </c>
      <c r="D192" s="55" t="s">
        <v>9</v>
      </c>
      <c r="E192" s="167">
        <v>45633</v>
      </c>
      <c r="F192" s="23" t="s">
        <v>505</v>
      </c>
      <c r="G192" s="167">
        <v>45633</v>
      </c>
      <c r="H192" s="167">
        <v>45645</v>
      </c>
      <c r="I192" s="55" t="s">
        <v>9</v>
      </c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168"/>
      <c r="V192" s="168"/>
      <c r="W192" s="168"/>
    </row>
    <row r="193" spans="1:23" ht="20.100000000000001" customHeight="1" x14ac:dyDescent="0.25">
      <c r="B193" s="56">
        <f>MAX(B179:B192)+1</f>
        <v>142</v>
      </c>
      <c r="C193" s="170" t="s">
        <v>509</v>
      </c>
      <c r="D193" s="55" t="s">
        <v>10</v>
      </c>
      <c r="E193" s="167">
        <v>45633</v>
      </c>
      <c r="F193" s="23" t="s">
        <v>510</v>
      </c>
      <c r="G193" s="167">
        <v>45633</v>
      </c>
      <c r="H193" s="167">
        <v>45645</v>
      </c>
      <c r="I193" s="55" t="s">
        <v>10</v>
      </c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168"/>
      <c r="V193" s="168"/>
      <c r="W193" s="168"/>
    </row>
    <row r="194" spans="1:23" ht="20.100000000000001" customHeight="1" x14ac:dyDescent="0.25">
      <c r="B194" s="56">
        <f>MAX(B179:B192)+1</f>
        <v>142</v>
      </c>
      <c r="C194" s="170" t="s">
        <v>506</v>
      </c>
      <c r="D194" s="55" t="s">
        <v>9</v>
      </c>
      <c r="E194" s="167">
        <v>45633</v>
      </c>
      <c r="F194" s="23" t="s">
        <v>508</v>
      </c>
      <c r="G194" s="167">
        <v>45633</v>
      </c>
      <c r="H194" s="167">
        <v>45645</v>
      </c>
      <c r="I194" s="55" t="s">
        <v>9</v>
      </c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168"/>
      <c r="V194" s="168"/>
      <c r="W194" s="168"/>
    </row>
    <row r="195" spans="1:23" ht="20.100000000000001" customHeight="1" x14ac:dyDescent="0.25">
      <c r="B195" s="192" t="s">
        <v>29</v>
      </c>
      <c r="C195" s="67" t="s">
        <v>87</v>
      </c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8"/>
      <c r="V195" s="58"/>
      <c r="W195" s="153"/>
    </row>
    <row r="196" spans="1:23" s="152" customFormat="1" ht="20.100000000000001" customHeight="1" x14ac:dyDescent="0.25">
      <c r="A196" s="174"/>
      <c r="B196" s="193" t="s">
        <v>0</v>
      </c>
      <c r="C196" s="135" t="s">
        <v>20</v>
      </c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7"/>
      <c r="V196" s="137"/>
      <c r="W196" s="137"/>
    </row>
    <row r="197" spans="1:23" s="152" customFormat="1" ht="20.100000000000001" customHeight="1" x14ac:dyDescent="0.25">
      <c r="A197" s="174"/>
      <c r="B197" s="56">
        <f t="shared" ref="B197:B203" si="21">MAX(B180:B196)+1</f>
        <v>143</v>
      </c>
      <c r="C197" s="71" t="s">
        <v>414</v>
      </c>
      <c r="D197" s="55" t="s">
        <v>8</v>
      </c>
      <c r="E197" s="26">
        <v>45562</v>
      </c>
      <c r="F197" s="23" t="s">
        <v>421</v>
      </c>
      <c r="G197" s="26">
        <v>45562</v>
      </c>
      <c r="H197" s="26">
        <v>45582</v>
      </c>
      <c r="I197" s="55" t="s">
        <v>8</v>
      </c>
      <c r="J197" s="47"/>
      <c r="K197" s="47"/>
      <c r="L197" s="47"/>
      <c r="M197" s="175"/>
      <c r="N197" s="47"/>
      <c r="O197" s="47"/>
      <c r="P197" s="47"/>
      <c r="Q197" s="47"/>
      <c r="R197" s="47"/>
      <c r="S197" s="47"/>
      <c r="T197" s="47"/>
      <c r="U197" s="30"/>
      <c r="V197" s="30"/>
      <c r="W197" s="30"/>
    </row>
    <row r="198" spans="1:23" s="152" customFormat="1" ht="20.100000000000001" customHeight="1" x14ac:dyDescent="0.25">
      <c r="A198" s="174"/>
      <c r="B198" s="56">
        <f t="shared" si="21"/>
        <v>144</v>
      </c>
      <c r="C198" s="71" t="s">
        <v>492</v>
      </c>
      <c r="D198" s="55" t="s">
        <v>8</v>
      </c>
      <c r="E198" s="26">
        <v>45596</v>
      </c>
      <c r="F198" s="23" t="s">
        <v>493</v>
      </c>
      <c r="G198" s="26">
        <v>45596</v>
      </c>
      <c r="H198" s="26">
        <v>45614</v>
      </c>
      <c r="I198" s="55" t="s">
        <v>9</v>
      </c>
      <c r="J198" s="26">
        <v>45629</v>
      </c>
      <c r="K198" s="26">
        <v>45631</v>
      </c>
      <c r="L198" s="55" t="s">
        <v>8</v>
      </c>
      <c r="M198" s="47"/>
      <c r="N198" s="47"/>
      <c r="O198" s="47"/>
      <c r="P198" s="47"/>
      <c r="Q198" s="47"/>
      <c r="R198" s="47"/>
      <c r="S198" s="47"/>
      <c r="T198" s="47"/>
      <c r="U198" s="30"/>
      <c r="V198" s="30"/>
      <c r="W198" s="30"/>
    </row>
    <row r="199" spans="1:23" s="152" customFormat="1" ht="20.100000000000001" customHeight="1" x14ac:dyDescent="0.25">
      <c r="A199" s="174"/>
      <c r="B199" s="56">
        <f t="shared" si="21"/>
        <v>145</v>
      </c>
      <c r="C199" s="71" t="s">
        <v>489</v>
      </c>
      <c r="D199" s="55" t="s">
        <v>8</v>
      </c>
      <c r="E199" s="26">
        <v>45596</v>
      </c>
      <c r="F199" s="23" t="s">
        <v>495</v>
      </c>
      <c r="G199" s="26">
        <v>45596</v>
      </c>
      <c r="H199" s="26">
        <v>45614</v>
      </c>
      <c r="I199" s="55" t="s">
        <v>9</v>
      </c>
      <c r="J199" s="26">
        <v>45629</v>
      </c>
      <c r="K199" s="26">
        <v>45631</v>
      </c>
      <c r="L199" s="55" t="s">
        <v>8</v>
      </c>
      <c r="M199" s="47"/>
      <c r="N199" s="47"/>
      <c r="O199" s="47"/>
      <c r="P199" s="47"/>
      <c r="Q199" s="47"/>
      <c r="R199" s="47"/>
      <c r="S199" s="47"/>
      <c r="T199" s="47"/>
      <c r="U199" s="30"/>
      <c r="V199" s="30"/>
      <c r="W199" s="30"/>
    </row>
    <row r="200" spans="1:23" s="152" customFormat="1" ht="20.100000000000001" customHeight="1" x14ac:dyDescent="0.25">
      <c r="A200" s="174"/>
      <c r="B200" s="56">
        <f t="shared" si="21"/>
        <v>146</v>
      </c>
      <c r="C200" s="71" t="s">
        <v>491</v>
      </c>
      <c r="D200" s="55" t="s">
        <v>8</v>
      </c>
      <c r="E200" s="26">
        <v>45596</v>
      </c>
      <c r="F200" s="23" t="s">
        <v>496</v>
      </c>
      <c r="G200" s="26">
        <v>45596</v>
      </c>
      <c r="H200" s="26">
        <v>45614</v>
      </c>
      <c r="I200" s="55" t="s">
        <v>8</v>
      </c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30"/>
      <c r="V200" s="30"/>
      <c r="W200" s="30"/>
    </row>
    <row r="201" spans="1:23" s="152" customFormat="1" ht="20.100000000000001" customHeight="1" x14ac:dyDescent="0.25">
      <c r="A201" s="174"/>
      <c r="B201" s="56">
        <f t="shared" si="21"/>
        <v>147</v>
      </c>
      <c r="C201" s="71" t="s">
        <v>488</v>
      </c>
      <c r="D201" s="55" t="s">
        <v>8</v>
      </c>
      <c r="E201" s="26">
        <v>45596</v>
      </c>
      <c r="F201" s="23" t="s">
        <v>494</v>
      </c>
      <c r="G201" s="26">
        <v>45596</v>
      </c>
      <c r="H201" s="26">
        <v>45614</v>
      </c>
      <c r="I201" s="55" t="s">
        <v>8</v>
      </c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30"/>
      <c r="V201" s="30"/>
      <c r="W201" s="30"/>
    </row>
    <row r="202" spans="1:23" s="152" customFormat="1" ht="20.100000000000001" customHeight="1" x14ac:dyDescent="0.25">
      <c r="A202" s="174"/>
      <c r="B202" s="56">
        <f t="shared" si="21"/>
        <v>148</v>
      </c>
      <c r="C202" s="71" t="s">
        <v>490</v>
      </c>
      <c r="D202" s="55" t="s">
        <v>8</v>
      </c>
      <c r="E202" s="26">
        <v>45596</v>
      </c>
      <c r="F202" s="23" t="s">
        <v>495</v>
      </c>
      <c r="G202" s="26">
        <v>45596</v>
      </c>
      <c r="H202" s="26">
        <v>45614</v>
      </c>
      <c r="I202" s="55" t="s">
        <v>8</v>
      </c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30"/>
      <c r="V202" s="30"/>
      <c r="W202" s="30"/>
    </row>
    <row r="203" spans="1:23" s="152" customFormat="1" ht="20.100000000000001" customHeight="1" x14ac:dyDescent="0.25">
      <c r="A203" s="174"/>
      <c r="B203" s="56">
        <f t="shared" si="21"/>
        <v>149</v>
      </c>
      <c r="C203" s="71" t="s">
        <v>415</v>
      </c>
      <c r="D203" s="55" t="s">
        <v>8</v>
      </c>
      <c r="E203" s="26">
        <v>45562</v>
      </c>
      <c r="F203" s="23" t="s">
        <v>422</v>
      </c>
      <c r="G203" s="26">
        <v>45562</v>
      </c>
      <c r="H203" s="26">
        <v>45582</v>
      </c>
      <c r="I203" s="55" t="s">
        <v>8</v>
      </c>
      <c r="J203" s="47"/>
      <c r="K203" s="47"/>
      <c r="L203" s="47"/>
      <c r="M203" s="175"/>
      <c r="N203" s="47"/>
      <c r="O203" s="47"/>
      <c r="P203" s="47"/>
      <c r="Q203" s="47"/>
      <c r="R203" s="47"/>
      <c r="S203" s="47"/>
      <c r="T203" s="47"/>
      <c r="U203" s="30"/>
      <c r="V203" s="30"/>
      <c r="W203" s="30"/>
    </row>
    <row r="204" spans="1:23" s="152" customFormat="1" ht="20.100000000000001" customHeight="1" x14ac:dyDescent="0.25">
      <c r="A204" s="174"/>
      <c r="B204" s="56">
        <f>MAX(B185:B203)+1</f>
        <v>150</v>
      </c>
      <c r="C204" s="71" t="s">
        <v>375</v>
      </c>
      <c r="D204" s="55" t="s">
        <v>8</v>
      </c>
      <c r="E204" s="26">
        <v>45562</v>
      </c>
      <c r="F204" s="23" t="s">
        <v>423</v>
      </c>
      <c r="G204" s="26">
        <v>45562</v>
      </c>
      <c r="H204" s="26">
        <v>45582</v>
      </c>
      <c r="I204" s="55" t="s">
        <v>8</v>
      </c>
      <c r="J204" s="47"/>
      <c r="K204" s="47"/>
      <c r="L204" s="47"/>
      <c r="M204" s="175"/>
      <c r="N204" s="47"/>
      <c r="O204" s="47"/>
      <c r="P204" s="47"/>
      <c r="Q204" s="47"/>
      <c r="R204" s="47"/>
      <c r="S204" s="47"/>
      <c r="T204" s="47"/>
      <c r="U204" s="30"/>
      <c r="V204" s="30"/>
      <c r="W204" s="30"/>
    </row>
    <row r="205" spans="1:23" s="152" customFormat="1" ht="20.100000000000001" customHeight="1" x14ac:dyDescent="0.25">
      <c r="A205" s="174"/>
      <c r="B205" s="56">
        <f>MAX(B186:B204)+1</f>
        <v>151</v>
      </c>
      <c r="C205" s="71" t="s">
        <v>376</v>
      </c>
      <c r="D205" s="55" t="s">
        <v>8</v>
      </c>
      <c r="E205" s="26">
        <v>45562</v>
      </c>
      <c r="F205" s="23" t="s">
        <v>424</v>
      </c>
      <c r="G205" s="26">
        <v>45562</v>
      </c>
      <c r="H205" s="26">
        <v>45582</v>
      </c>
      <c r="I205" s="55" t="s">
        <v>8</v>
      </c>
      <c r="J205" s="47"/>
      <c r="K205" s="47"/>
      <c r="L205" s="47"/>
      <c r="M205" s="175"/>
      <c r="N205" s="47"/>
      <c r="O205" s="47"/>
      <c r="P205" s="47"/>
      <c r="Q205" s="47"/>
      <c r="R205" s="47"/>
      <c r="S205" s="47"/>
      <c r="T205" s="47"/>
      <c r="U205" s="30"/>
      <c r="V205" s="30"/>
      <c r="W205" s="30"/>
    </row>
    <row r="206" spans="1:23" s="152" customFormat="1" ht="20.100000000000001" customHeight="1" x14ac:dyDescent="0.25">
      <c r="A206" s="174"/>
      <c r="B206" s="56">
        <f>MAX(B187:B205)+1</f>
        <v>152</v>
      </c>
      <c r="C206" s="71" t="s">
        <v>377</v>
      </c>
      <c r="D206" s="55" t="s">
        <v>8</v>
      </c>
      <c r="E206" s="26">
        <v>45562</v>
      </c>
      <c r="F206" s="23" t="s">
        <v>425</v>
      </c>
      <c r="G206" s="26">
        <v>45562</v>
      </c>
      <c r="H206" s="26">
        <v>45582</v>
      </c>
      <c r="I206" s="55" t="s">
        <v>8</v>
      </c>
      <c r="J206" s="47"/>
      <c r="K206" s="47"/>
      <c r="L206" s="47"/>
      <c r="M206" s="175"/>
      <c r="N206" s="47"/>
      <c r="O206" s="47"/>
      <c r="P206" s="47"/>
      <c r="Q206" s="47"/>
      <c r="R206" s="47"/>
      <c r="S206" s="47"/>
      <c r="T206" s="47"/>
      <c r="U206" s="30"/>
      <c r="V206" s="30"/>
      <c r="W206" s="30"/>
    </row>
    <row r="207" spans="1:23" s="152" customFormat="1" ht="20.100000000000001" customHeight="1" x14ac:dyDescent="0.25">
      <c r="A207" s="174"/>
      <c r="B207" s="56">
        <f>MAX(B188:B206)+1</f>
        <v>153</v>
      </c>
      <c r="C207" s="71" t="s">
        <v>378</v>
      </c>
      <c r="D207" s="55" t="s">
        <v>8</v>
      </c>
      <c r="E207" s="26">
        <v>45562</v>
      </c>
      <c r="F207" s="23" t="s">
        <v>426</v>
      </c>
      <c r="G207" s="26">
        <v>45562</v>
      </c>
      <c r="H207" s="26">
        <v>45582</v>
      </c>
      <c r="I207" s="55" t="s">
        <v>8</v>
      </c>
      <c r="J207" s="47"/>
      <c r="K207" s="47"/>
      <c r="L207" s="47"/>
      <c r="M207" s="175"/>
      <c r="N207" s="47"/>
      <c r="O207" s="47"/>
      <c r="P207" s="47"/>
      <c r="Q207" s="47"/>
      <c r="R207" s="47"/>
      <c r="S207" s="47"/>
      <c r="T207" s="47"/>
      <c r="U207" s="30"/>
      <c r="V207" s="30"/>
      <c r="W207" s="30"/>
    </row>
    <row r="208" spans="1:23" ht="20.100000000000001" customHeight="1" x14ac:dyDescent="0.25">
      <c r="B208" s="190" t="s">
        <v>1</v>
      </c>
      <c r="C208" s="72" t="s">
        <v>21</v>
      </c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4"/>
    </row>
    <row r="209" spans="1:23" s="152" customFormat="1" ht="20.100000000000001" customHeight="1" x14ac:dyDescent="0.25">
      <c r="A209" s="174"/>
      <c r="B209" s="56">
        <f>MAX(B190:B208)+1</f>
        <v>154</v>
      </c>
      <c r="C209" s="71" t="s">
        <v>365</v>
      </c>
      <c r="D209" s="120" t="s">
        <v>8</v>
      </c>
      <c r="E209" s="167">
        <v>45517</v>
      </c>
      <c r="F209" s="23" t="s">
        <v>366</v>
      </c>
      <c r="G209" s="167">
        <v>45405</v>
      </c>
      <c r="H209" s="167">
        <v>45407</v>
      </c>
      <c r="I209" s="120" t="s">
        <v>10</v>
      </c>
      <c r="J209" s="167">
        <v>45517</v>
      </c>
      <c r="K209" s="167">
        <v>45526</v>
      </c>
      <c r="L209" s="55" t="s">
        <v>8</v>
      </c>
      <c r="M209" s="47"/>
      <c r="N209" s="47"/>
      <c r="O209" s="47"/>
      <c r="P209" s="47"/>
      <c r="Q209" s="47"/>
      <c r="R209" s="47"/>
      <c r="S209" s="47"/>
      <c r="T209" s="47"/>
      <c r="U209" s="30"/>
      <c r="V209" s="30"/>
      <c r="W209" s="30"/>
    </row>
    <row r="210" spans="1:23" s="152" customFormat="1" ht="20.100000000000001" customHeight="1" x14ac:dyDescent="0.25">
      <c r="A210" s="174"/>
      <c r="B210" s="56">
        <f>MAX(B191:B209)+1</f>
        <v>155</v>
      </c>
      <c r="C210" s="71" t="s">
        <v>427</v>
      </c>
      <c r="D210" s="166" t="s">
        <v>9</v>
      </c>
      <c r="E210" s="167">
        <v>45405</v>
      </c>
      <c r="F210" s="23" t="s">
        <v>367</v>
      </c>
      <c r="G210" s="167">
        <v>45405</v>
      </c>
      <c r="H210" s="167">
        <v>45407</v>
      </c>
      <c r="I210" s="166" t="s">
        <v>9</v>
      </c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30"/>
      <c r="V210" s="30"/>
      <c r="W210" s="30"/>
    </row>
    <row r="211" spans="1:23" s="152" customFormat="1" ht="20.100000000000001" customHeight="1" x14ac:dyDescent="0.25">
      <c r="A211" s="174"/>
      <c r="B211" s="56">
        <f>MAX(B195:B210)+1</f>
        <v>156</v>
      </c>
      <c r="C211" s="71" t="s">
        <v>368</v>
      </c>
      <c r="D211" s="166" t="s">
        <v>9</v>
      </c>
      <c r="E211" s="167">
        <v>45405</v>
      </c>
      <c r="F211" s="23" t="s">
        <v>369</v>
      </c>
      <c r="G211" s="167">
        <v>45405</v>
      </c>
      <c r="H211" s="167">
        <v>45407</v>
      </c>
      <c r="I211" s="166" t="s">
        <v>9</v>
      </c>
      <c r="J211" s="47"/>
      <c r="K211" s="47"/>
      <c r="M211" s="47"/>
      <c r="N211" s="47"/>
      <c r="O211" s="47"/>
      <c r="P211" s="47"/>
      <c r="Q211" s="47"/>
      <c r="R211" s="47"/>
      <c r="S211" s="47"/>
      <c r="T211" s="47"/>
      <c r="U211" s="30"/>
      <c r="V211" s="30"/>
      <c r="W211" s="30"/>
    </row>
    <row r="212" spans="1:23" s="152" customFormat="1" ht="20.100000000000001" customHeight="1" x14ac:dyDescent="0.25">
      <c r="A212" s="174"/>
      <c r="B212" s="56">
        <f>MAX(B196:B211)+1</f>
        <v>157</v>
      </c>
      <c r="C212" s="71" t="s">
        <v>370</v>
      </c>
      <c r="D212" s="55" t="s">
        <v>8</v>
      </c>
      <c r="E212" s="167">
        <v>45405</v>
      </c>
      <c r="F212" s="23" t="s">
        <v>371</v>
      </c>
      <c r="G212" s="167">
        <v>45405</v>
      </c>
      <c r="H212" s="167">
        <v>45407</v>
      </c>
      <c r="I212" s="120" t="s">
        <v>8</v>
      </c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30"/>
      <c r="V212" s="30"/>
      <c r="W212" s="30"/>
    </row>
    <row r="213" spans="1:23" s="152" customFormat="1" ht="20.100000000000001" customHeight="1" x14ac:dyDescent="0.25">
      <c r="A213" s="174"/>
      <c r="B213" s="56">
        <f>MAX(B197:B212)+1</f>
        <v>158</v>
      </c>
      <c r="C213" s="71" t="s">
        <v>548</v>
      </c>
      <c r="D213" s="55" t="s">
        <v>8</v>
      </c>
      <c r="E213" s="167">
        <v>45633</v>
      </c>
      <c r="F213" s="23" t="s">
        <v>542</v>
      </c>
      <c r="G213" s="167">
        <v>45633</v>
      </c>
      <c r="H213" s="167">
        <v>45645</v>
      </c>
      <c r="I213" s="166" t="s">
        <v>8</v>
      </c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30"/>
      <c r="V213" s="30"/>
      <c r="W213" s="30"/>
    </row>
    <row r="214" spans="1:23" s="152" customFormat="1" ht="20.100000000000001" customHeight="1" x14ac:dyDescent="0.25">
      <c r="A214" s="174"/>
      <c r="B214" s="187" t="s">
        <v>143</v>
      </c>
      <c r="C214" s="135" t="s">
        <v>22</v>
      </c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7"/>
      <c r="V214" s="137"/>
      <c r="W214" s="137"/>
    </row>
    <row r="215" spans="1:23" ht="20.100000000000001" customHeight="1" x14ac:dyDescent="0.25">
      <c r="B215" s="56">
        <f>MAX(B198:B214)+1</f>
        <v>159</v>
      </c>
      <c r="C215" s="170" t="s">
        <v>513</v>
      </c>
      <c r="D215" s="166" t="s">
        <v>9</v>
      </c>
      <c r="E215" s="167">
        <v>45633</v>
      </c>
      <c r="F215" s="23" t="s">
        <v>514</v>
      </c>
      <c r="G215" s="167">
        <v>45633</v>
      </c>
      <c r="H215" s="167">
        <v>45645</v>
      </c>
      <c r="I215" s="166" t="s">
        <v>9</v>
      </c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168"/>
      <c r="V215" s="168"/>
      <c r="W215" s="214"/>
    </row>
    <row r="216" spans="1:23" ht="20.100000000000001" customHeight="1" x14ac:dyDescent="0.25">
      <c r="B216" s="56">
        <f>MAX(B199:B215)+1</f>
        <v>160</v>
      </c>
      <c r="C216" s="170" t="s">
        <v>518</v>
      </c>
      <c r="D216" s="166" t="s">
        <v>10</v>
      </c>
      <c r="E216" s="167">
        <v>45633</v>
      </c>
      <c r="F216" s="23" t="s">
        <v>515</v>
      </c>
      <c r="G216" s="167">
        <v>45633</v>
      </c>
      <c r="H216" s="167">
        <v>45645</v>
      </c>
      <c r="I216" s="166" t="s">
        <v>10</v>
      </c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168"/>
      <c r="V216" s="168"/>
      <c r="W216" s="168"/>
    </row>
    <row r="217" spans="1:23" ht="20.100000000000001" customHeight="1" x14ac:dyDescent="0.25">
      <c r="B217" s="56">
        <f>MAX(B200:B216)+1</f>
        <v>161</v>
      </c>
      <c r="C217" s="170" t="s">
        <v>517</v>
      </c>
      <c r="D217" s="166" t="s">
        <v>9</v>
      </c>
      <c r="E217" s="167">
        <v>45633</v>
      </c>
      <c r="F217" s="23" t="s">
        <v>516</v>
      </c>
      <c r="G217" s="167">
        <v>45633</v>
      </c>
      <c r="H217" s="167">
        <v>45645</v>
      </c>
      <c r="I217" s="166" t="s">
        <v>9</v>
      </c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168"/>
      <c r="V217" s="168"/>
      <c r="W217" s="168"/>
    </row>
    <row r="218" spans="1:23" ht="20.100000000000001" customHeight="1" x14ac:dyDescent="0.25">
      <c r="B218" s="141" t="s">
        <v>30</v>
      </c>
      <c r="C218" s="67" t="s">
        <v>88</v>
      </c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8"/>
      <c r="V218" s="58"/>
      <c r="W218" s="154"/>
    </row>
    <row r="219" spans="1:23" s="152" customFormat="1" ht="20.100000000000001" customHeight="1" x14ac:dyDescent="0.25">
      <c r="A219" s="174"/>
      <c r="B219" s="134" t="s">
        <v>0</v>
      </c>
      <c r="C219" s="135" t="s">
        <v>20</v>
      </c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7"/>
      <c r="V219" s="137"/>
      <c r="W219" s="227"/>
    </row>
    <row r="220" spans="1:23" s="152" customFormat="1" ht="20.100000000000001" customHeight="1" x14ac:dyDescent="0.25">
      <c r="A220" s="174"/>
      <c r="B220" s="56">
        <f t="shared" ref="B220:B227" si="22">MAX(B203:B219)+1</f>
        <v>162</v>
      </c>
      <c r="C220" s="71" t="s">
        <v>529</v>
      </c>
      <c r="D220" s="166" t="s">
        <v>8</v>
      </c>
      <c r="E220" s="47"/>
      <c r="F220" s="23" t="s">
        <v>555</v>
      </c>
      <c r="G220" s="167">
        <v>45649</v>
      </c>
      <c r="H220" s="167">
        <v>45652</v>
      </c>
      <c r="I220" s="166" t="s">
        <v>8</v>
      </c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30"/>
      <c r="V220" s="30"/>
      <c r="W220" s="158"/>
    </row>
    <row r="221" spans="1:23" s="152" customFormat="1" ht="20.100000000000001" customHeight="1" x14ac:dyDescent="0.25">
      <c r="A221" s="174"/>
      <c r="B221" s="56">
        <f t="shared" si="22"/>
        <v>163</v>
      </c>
      <c r="C221" s="71" t="s">
        <v>522</v>
      </c>
      <c r="D221" s="166" t="s">
        <v>10</v>
      </c>
      <c r="E221" s="47"/>
      <c r="F221" s="23" t="s">
        <v>556</v>
      </c>
      <c r="G221" s="167">
        <v>45650</v>
      </c>
      <c r="H221" s="167">
        <v>45667</v>
      </c>
      <c r="I221" s="166" t="s">
        <v>10</v>
      </c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30"/>
      <c r="V221" s="30"/>
      <c r="W221" s="158"/>
    </row>
    <row r="222" spans="1:23" s="152" customFormat="1" ht="20.100000000000001" customHeight="1" x14ac:dyDescent="0.25">
      <c r="A222" s="174"/>
      <c r="B222" s="56">
        <f t="shared" si="22"/>
        <v>164</v>
      </c>
      <c r="C222" s="71" t="s">
        <v>523</v>
      </c>
      <c r="D222" s="166" t="s">
        <v>9</v>
      </c>
      <c r="E222" s="47"/>
      <c r="F222" s="23" t="s">
        <v>557</v>
      </c>
      <c r="G222" s="167">
        <v>45650</v>
      </c>
      <c r="H222" s="167">
        <v>45667</v>
      </c>
      <c r="I222" s="166" t="s">
        <v>9</v>
      </c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30"/>
      <c r="V222" s="30"/>
      <c r="W222" s="158"/>
    </row>
    <row r="223" spans="1:23" s="152" customFormat="1" ht="20.100000000000001" customHeight="1" x14ac:dyDescent="0.25">
      <c r="A223" s="174"/>
      <c r="B223" s="56">
        <f t="shared" si="22"/>
        <v>165</v>
      </c>
      <c r="C223" s="71" t="s">
        <v>524</v>
      </c>
      <c r="D223" s="166" t="s">
        <v>8</v>
      </c>
      <c r="E223" s="47"/>
      <c r="F223" s="23" t="s">
        <v>530</v>
      </c>
      <c r="G223" s="167">
        <v>45645</v>
      </c>
      <c r="H223" s="167">
        <v>45652</v>
      </c>
      <c r="I223" s="166" t="s">
        <v>8</v>
      </c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30"/>
      <c r="V223" s="30"/>
      <c r="W223" s="158"/>
    </row>
    <row r="224" spans="1:23" s="152" customFormat="1" ht="20.100000000000001" customHeight="1" x14ac:dyDescent="0.25">
      <c r="A224" s="174"/>
      <c r="B224" s="56">
        <f t="shared" si="22"/>
        <v>166</v>
      </c>
      <c r="C224" s="71" t="s">
        <v>525</v>
      </c>
      <c r="D224" s="166" t="s">
        <v>8</v>
      </c>
      <c r="E224" s="47"/>
      <c r="F224" s="23" t="s">
        <v>531</v>
      </c>
      <c r="G224" s="167">
        <v>45645</v>
      </c>
      <c r="H224" s="167">
        <v>45652</v>
      </c>
      <c r="I224" s="166" t="s">
        <v>8</v>
      </c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30"/>
      <c r="V224" s="30"/>
      <c r="W224" s="158"/>
    </row>
    <row r="225" spans="1:23" s="152" customFormat="1" ht="20.100000000000001" customHeight="1" x14ac:dyDescent="0.25">
      <c r="A225" s="174"/>
      <c r="B225" s="56">
        <f t="shared" si="22"/>
        <v>167</v>
      </c>
      <c r="C225" s="71" t="s">
        <v>526</v>
      </c>
      <c r="D225" s="166" t="s">
        <v>8</v>
      </c>
      <c r="E225" s="47"/>
      <c r="F225" s="23" t="s">
        <v>532</v>
      </c>
      <c r="G225" s="167">
        <v>45645</v>
      </c>
      <c r="H225" s="167">
        <v>45652</v>
      </c>
      <c r="I225" s="166" t="s">
        <v>8</v>
      </c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30"/>
      <c r="V225" s="30"/>
      <c r="W225" s="158"/>
    </row>
    <row r="226" spans="1:23" s="152" customFormat="1" ht="20.100000000000001" customHeight="1" x14ac:dyDescent="0.25">
      <c r="A226" s="174"/>
      <c r="B226" s="56">
        <f t="shared" si="22"/>
        <v>168</v>
      </c>
      <c r="C226" s="71" t="s">
        <v>527</v>
      </c>
      <c r="D226" s="166" t="s">
        <v>8</v>
      </c>
      <c r="E226" s="47"/>
      <c r="F226" s="23" t="s">
        <v>533</v>
      </c>
      <c r="G226" s="167">
        <v>45645</v>
      </c>
      <c r="H226" s="167">
        <v>45652</v>
      </c>
      <c r="I226" s="166" t="s">
        <v>8</v>
      </c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30"/>
      <c r="V226" s="30"/>
      <c r="W226" s="158"/>
    </row>
    <row r="227" spans="1:23" s="152" customFormat="1" ht="20.100000000000001" customHeight="1" x14ac:dyDescent="0.25">
      <c r="A227" s="174"/>
      <c r="B227" s="56">
        <f t="shared" si="22"/>
        <v>169</v>
      </c>
      <c r="C227" s="71" t="s">
        <v>528</v>
      </c>
      <c r="D227" s="166" t="s">
        <v>8</v>
      </c>
      <c r="E227" s="47"/>
      <c r="F227" s="23" t="s">
        <v>534</v>
      </c>
      <c r="G227" s="167">
        <v>45645</v>
      </c>
      <c r="H227" s="167">
        <v>45652</v>
      </c>
      <c r="I227" s="166" t="s">
        <v>8</v>
      </c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30"/>
      <c r="V227" s="30"/>
      <c r="W227" s="158"/>
    </row>
    <row r="228" spans="1:23" s="152" customFormat="1" ht="20.100000000000001" customHeight="1" x14ac:dyDescent="0.25">
      <c r="A228" s="174"/>
      <c r="B228" s="134" t="s">
        <v>1</v>
      </c>
      <c r="C228" s="135" t="s">
        <v>21</v>
      </c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7"/>
      <c r="V228" s="137"/>
      <c r="W228" s="137"/>
    </row>
    <row r="229" spans="1:23" s="152" customFormat="1" ht="20.100000000000001" customHeight="1" x14ac:dyDescent="0.25">
      <c r="A229" s="174"/>
      <c r="B229" s="56">
        <f>MAX(B212:B228)+1</f>
        <v>170</v>
      </c>
      <c r="C229" s="71" t="s">
        <v>598</v>
      </c>
      <c r="D229" s="166" t="s">
        <v>8</v>
      </c>
      <c r="E229" s="47"/>
      <c r="F229" s="23" t="s">
        <v>574</v>
      </c>
      <c r="G229" s="167">
        <v>45654</v>
      </c>
      <c r="H229" s="167">
        <v>45667</v>
      </c>
      <c r="I229" s="166" t="s">
        <v>8</v>
      </c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30"/>
      <c r="V229" s="30"/>
      <c r="W229" s="30"/>
    </row>
    <row r="230" spans="1:23" s="152" customFormat="1" ht="20.100000000000001" customHeight="1" x14ac:dyDescent="0.25">
      <c r="A230" s="174"/>
      <c r="B230" s="56">
        <f>MAX(B213:B229)+1</f>
        <v>171</v>
      </c>
      <c r="C230" s="71" t="s">
        <v>622</v>
      </c>
      <c r="D230" s="166" t="s">
        <v>9</v>
      </c>
      <c r="E230" s="47"/>
      <c r="F230" s="23" t="s">
        <v>615</v>
      </c>
      <c r="G230" s="167">
        <v>45657</v>
      </c>
      <c r="H230" s="167">
        <v>45667</v>
      </c>
      <c r="I230" s="166" t="s">
        <v>10</v>
      </c>
      <c r="J230" s="167">
        <v>45678</v>
      </c>
      <c r="K230" s="167">
        <v>45687</v>
      </c>
      <c r="L230" s="166" t="s">
        <v>9</v>
      </c>
      <c r="M230" s="47"/>
      <c r="N230" s="47"/>
      <c r="O230" s="47"/>
      <c r="P230" s="47"/>
      <c r="Q230" s="47"/>
      <c r="R230" s="47"/>
      <c r="S230" s="47"/>
      <c r="T230" s="47"/>
      <c r="U230" s="30"/>
      <c r="V230" s="30"/>
      <c r="W230" s="30"/>
    </row>
    <row r="231" spans="1:23" ht="20.100000000000001" customHeight="1" x14ac:dyDescent="0.25">
      <c r="A231" s="89"/>
      <c r="B231" s="169">
        <v>186</v>
      </c>
      <c r="C231" s="170" t="s">
        <v>627</v>
      </c>
      <c r="D231" s="166" t="s">
        <v>10</v>
      </c>
      <c r="E231" s="24"/>
      <c r="F231" s="24" t="s">
        <v>628</v>
      </c>
      <c r="G231" s="167">
        <v>45679</v>
      </c>
      <c r="H231" s="167">
        <v>45687</v>
      </c>
      <c r="I231" s="166" t="s">
        <v>10</v>
      </c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168"/>
      <c r="V231" s="168"/>
      <c r="W231" s="168"/>
    </row>
    <row r="232" spans="1:23" s="152" customFormat="1" ht="20.100000000000001" customHeight="1" x14ac:dyDescent="0.25">
      <c r="A232" s="174"/>
      <c r="B232" s="134" t="s">
        <v>143</v>
      </c>
      <c r="C232" s="135" t="s">
        <v>22</v>
      </c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7"/>
      <c r="V232" s="137"/>
      <c r="W232" s="137"/>
    </row>
    <row r="233" spans="1:23" s="152" customFormat="1" ht="20.100000000000001" customHeight="1" x14ac:dyDescent="0.25">
      <c r="A233" s="174"/>
      <c r="B233" s="56">
        <f>MAX(B214:B231)+1</f>
        <v>187</v>
      </c>
      <c r="C233" s="170" t="s">
        <v>559</v>
      </c>
      <c r="D233" s="166" t="s">
        <v>8</v>
      </c>
      <c r="E233" s="47"/>
      <c r="F233" s="23" t="s">
        <v>562</v>
      </c>
      <c r="G233" s="167">
        <v>45649</v>
      </c>
      <c r="H233" s="167">
        <v>45652</v>
      </c>
      <c r="I233" s="166" t="s">
        <v>8</v>
      </c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30"/>
      <c r="V233" s="30"/>
      <c r="W233" s="30"/>
    </row>
    <row r="234" spans="1:23" s="152" customFormat="1" ht="20.100000000000001" customHeight="1" x14ac:dyDescent="0.25">
      <c r="A234" s="174"/>
      <c r="B234" s="56">
        <f>MAX(B215:B233)+1</f>
        <v>188</v>
      </c>
      <c r="C234" s="170" t="s">
        <v>560</v>
      </c>
      <c r="D234" s="166" t="s">
        <v>9</v>
      </c>
      <c r="E234" s="47"/>
      <c r="F234" s="23" t="s">
        <v>563</v>
      </c>
      <c r="G234" s="167">
        <v>45649</v>
      </c>
      <c r="H234" s="167">
        <v>45652</v>
      </c>
      <c r="I234" s="166" t="s">
        <v>9</v>
      </c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30"/>
      <c r="V234" s="30"/>
      <c r="W234" s="30"/>
    </row>
    <row r="235" spans="1:23" s="152" customFormat="1" ht="20.100000000000001" customHeight="1" x14ac:dyDescent="0.25">
      <c r="A235" s="174"/>
      <c r="B235" s="56">
        <f>MAX(B216:B234)+1</f>
        <v>189</v>
      </c>
      <c r="C235" s="170" t="s">
        <v>561</v>
      </c>
      <c r="D235" s="166" t="s">
        <v>9</v>
      </c>
      <c r="E235" s="47"/>
      <c r="F235" s="23" t="s">
        <v>564</v>
      </c>
      <c r="G235" s="167">
        <v>45649</v>
      </c>
      <c r="H235" s="167">
        <v>45652</v>
      </c>
      <c r="I235" s="166" t="s">
        <v>9</v>
      </c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30"/>
      <c r="V235" s="30"/>
      <c r="W235" s="30"/>
    </row>
    <row r="236" spans="1:23" ht="20.100000000000001" customHeight="1" x14ac:dyDescent="0.25">
      <c r="B236" s="141" t="s">
        <v>31</v>
      </c>
      <c r="C236" s="67" t="s">
        <v>89</v>
      </c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8"/>
      <c r="V236" s="58"/>
      <c r="W236" s="155"/>
    </row>
    <row r="237" spans="1:23" s="152" customFormat="1" ht="20.100000000000001" customHeight="1" x14ac:dyDescent="0.25">
      <c r="A237" s="174"/>
      <c r="B237" s="134" t="s">
        <v>0</v>
      </c>
      <c r="C237" s="135" t="s">
        <v>20</v>
      </c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7"/>
      <c r="V237" s="137"/>
      <c r="W237" s="137"/>
    </row>
    <row r="238" spans="1:23" s="152" customFormat="1" ht="20.100000000000001" customHeight="1" x14ac:dyDescent="0.25">
      <c r="A238" s="174"/>
      <c r="B238" s="56">
        <f>MAX(B219:B237)+1</f>
        <v>190</v>
      </c>
      <c r="C238" s="71" t="s">
        <v>535</v>
      </c>
      <c r="D238" s="166" t="s">
        <v>8</v>
      </c>
      <c r="E238" s="47"/>
      <c r="F238" s="23" t="s">
        <v>558</v>
      </c>
      <c r="G238" s="167">
        <v>45649</v>
      </c>
      <c r="H238" s="167">
        <v>45652</v>
      </c>
      <c r="I238" s="166" t="s">
        <v>8</v>
      </c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30"/>
      <c r="V238" s="30"/>
      <c r="W238" s="30"/>
    </row>
    <row r="239" spans="1:23" s="152" customFormat="1" ht="20.100000000000001" customHeight="1" x14ac:dyDescent="0.25">
      <c r="A239" s="174"/>
      <c r="B239" s="56">
        <f>MAX(B220:B238)+1</f>
        <v>191</v>
      </c>
      <c r="C239" s="71" t="s">
        <v>536</v>
      </c>
      <c r="D239" s="166" t="s">
        <v>8</v>
      </c>
      <c r="E239" s="47"/>
      <c r="F239" s="23" t="s">
        <v>623</v>
      </c>
      <c r="G239" s="167">
        <v>45650</v>
      </c>
      <c r="H239" s="167">
        <v>45667</v>
      </c>
      <c r="I239" s="166" t="s">
        <v>8</v>
      </c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30"/>
      <c r="V239" s="30"/>
      <c r="W239" s="30"/>
    </row>
    <row r="240" spans="1:23" s="152" customFormat="1" ht="20.100000000000001" customHeight="1" x14ac:dyDescent="0.25">
      <c r="A240" s="174"/>
      <c r="B240" s="56">
        <f>MAX(B221:B239)+1</f>
        <v>192</v>
      </c>
      <c r="C240" s="71" t="s">
        <v>537</v>
      </c>
      <c r="D240" s="166" t="s">
        <v>8</v>
      </c>
      <c r="E240" s="47"/>
      <c r="F240" s="23" t="s">
        <v>624</v>
      </c>
      <c r="G240" s="167">
        <v>45650</v>
      </c>
      <c r="H240" s="167">
        <v>45667</v>
      </c>
      <c r="I240" s="166" t="s">
        <v>8</v>
      </c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30"/>
      <c r="V240" s="30"/>
      <c r="W240" s="30"/>
    </row>
    <row r="241" spans="1:23" s="152" customFormat="1" ht="20.100000000000001" customHeight="1" x14ac:dyDescent="0.25">
      <c r="A241" s="174"/>
      <c r="B241" s="56">
        <f>MAX(B222:B240)+1</f>
        <v>193</v>
      </c>
      <c r="C241" s="71" t="s">
        <v>538</v>
      </c>
      <c r="D241" s="166" t="s">
        <v>8</v>
      </c>
      <c r="E241" s="47"/>
      <c r="F241" s="23" t="s">
        <v>540</v>
      </c>
      <c r="G241" s="167">
        <v>45645</v>
      </c>
      <c r="H241" s="167">
        <v>45652</v>
      </c>
      <c r="I241" s="166" t="s">
        <v>8</v>
      </c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30"/>
      <c r="V241" s="30"/>
      <c r="W241" s="30"/>
    </row>
    <row r="242" spans="1:23" s="152" customFormat="1" ht="20.100000000000001" customHeight="1" x14ac:dyDescent="0.25">
      <c r="A242" s="174"/>
      <c r="B242" s="56">
        <f>MAX(B223:B241)+1</f>
        <v>194</v>
      </c>
      <c r="C242" s="71" t="s">
        <v>539</v>
      </c>
      <c r="D242" s="166" t="s">
        <v>8</v>
      </c>
      <c r="E242" s="47"/>
      <c r="F242" s="23" t="s">
        <v>541</v>
      </c>
      <c r="G242" s="167">
        <v>45645</v>
      </c>
      <c r="H242" s="167">
        <v>45652</v>
      </c>
      <c r="I242" s="166" t="s">
        <v>8</v>
      </c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30"/>
      <c r="V242" s="30"/>
      <c r="W242" s="30"/>
    </row>
    <row r="243" spans="1:23" s="152" customFormat="1" ht="20.100000000000001" customHeight="1" x14ac:dyDescent="0.25">
      <c r="A243" s="174"/>
      <c r="B243" s="134" t="s">
        <v>1</v>
      </c>
      <c r="C243" s="135" t="s">
        <v>21</v>
      </c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7"/>
      <c r="V243" s="137"/>
      <c r="W243" s="137"/>
    </row>
    <row r="244" spans="1:23" s="152" customFormat="1" ht="20.100000000000001" customHeight="1" x14ac:dyDescent="0.25">
      <c r="A244" s="174"/>
      <c r="B244" s="56">
        <f>MAX(B225:B243)+1</f>
        <v>195</v>
      </c>
      <c r="C244" s="71" t="s">
        <v>547</v>
      </c>
      <c r="D244" s="166" t="s">
        <v>8</v>
      </c>
      <c r="E244" s="47"/>
      <c r="F244" s="23" t="s">
        <v>546</v>
      </c>
      <c r="G244" s="167">
        <v>45645</v>
      </c>
      <c r="H244" s="167">
        <v>45645</v>
      </c>
      <c r="I244" s="166" t="s">
        <v>8</v>
      </c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30"/>
      <c r="V244" s="30"/>
      <c r="W244" s="30"/>
    </row>
    <row r="245" spans="1:23" s="152" customFormat="1" ht="20.100000000000001" customHeight="1" x14ac:dyDescent="0.25">
      <c r="A245" s="174"/>
      <c r="B245" s="56">
        <f>MAX(B226:B244)+1</f>
        <v>196</v>
      </c>
      <c r="C245" s="71" t="s">
        <v>568</v>
      </c>
      <c r="D245" s="166" t="s">
        <v>8</v>
      </c>
      <c r="E245" s="47"/>
      <c r="F245" s="23" t="s">
        <v>569</v>
      </c>
      <c r="G245" s="167">
        <v>45654</v>
      </c>
      <c r="H245" s="167">
        <v>45667</v>
      </c>
      <c r="I245" s="166" t="s">
        <v>8</v>
      </c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30"/>
      <c r="V245" s="30"/>
      <c r="W245" s="30"/>
    </row>
    <row r="246" spans="1:23" s="152" customFormat="1" ht="20.100000000000001" customHeight="1" x14ac:dyDescent="0.25">
      <c r="A246" s="174"/>
      <c r="B246" s="56">
        <f>MAX(B227:B245)+1</f>
        <v>197</v>
      </c>
      <c r="C246" s="71" t="s">
        <v>570</v>
      </c>
      <c r="D246" s="166" t="s">
        <v>8</v>
      </c>
      <c r="E246" s="47"/>
      <c r="F246" s="23" t="s">
        <v>571</v>
      </c>
      <c r="G246" s="167">
        <v>45654</v>
      </c>
      <c r="H246" s="167">
        <v>45667</v>
      </c>
      <c r="I246" s="166" t="s">
        <v>8</v>
      </c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30"/>
      <c r="V246" s="30"/>
      <c r="W246" s="30"/>
    </row>
    <row r="247" spans="1:23" s="152" customFormat="1" ht="20.100000000000001" customHeight="1" x14ac:dyDescent="0.25">
      <c r="A247" s="174"/>
      <c r="B247" s="56">
        <f>MAX(B228:B246)+1</f>
        <v>198</v>
      </c>
      <c r="C247" s="71" t="s">
        <v>572</v>
      </c>
      <c r="D247" s="166" t="s">
        <v>8</v>
      </c>
      <c r="E247" s="47"/>
      <c r="F247" s="23" t="s">
        <v>573</v>
      </c>
      <c r="G247" s="167">
        <v>45654</v>
      </c>
      <c r="H247" s="167">
        <v>45667</v>
      </c>
      <c r="I247" s="166" t="s">
        <v>8</v>
      </c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30"/>
      <c r="V247" s="30"/>
      <c r="W247" s="30"/>
    </row>
    <row r="248" spans="1:23" s="152" customFormat="1" ht="20.100000000000001" customHeight="1" x14ac:dyDescent="0.25">
      <c r="A248" s="174"/>
      <c r="B248" s="56">
        <f>MAX(B229:B247)+1</f>
        <v>199</v>
      </c>
      <c r="C248" s="71" t="s">
        <v>625</v>
      </c>
      <c r="D248" s="166" t="s">
        <v>8</v>
      </c>
      <c r="E248" s="47"/>
      <c r="F248" s="23" t="s">
        <v>616</v>
      </c>
      <c r="G248" s="167">
        <v>45654</v>
      </c>
      <c r="H248" s="167">
        <v>45667</v>
      </c>
      <c r="I248" s="166" t="s">
        <v>8</v>
      </c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30"/>
      <c r="V248" s="30"/>
      <c r="W248" s="30"/>
    </row>
    <row r="249" spans="1:23" s="152" customFormat="1" ht="20.100000000000001" customHeight="1" x14ac:dyDescent="0.25">
      <c r="A249" s="174"/>
      <c r="B249" s="56">
        <f>MAX(B231:B248)+1</f>
        <v>200</v>
      </c>
      <c r="C249" s="71" t="s">
        <v>575</v>
      </c>
      <c r="D249" s="166" t="s">
        <v>8</v>
      </c>
      <c r="E249" s="47"/>
      <c r="F249" s="23" t="s">
        <v>576</v>
      </c>
      <c r="G249" s="167">
        <v>45654</v>
      </c>
      <c r="H249" s="167">
        <v>45667</v>
      </c>
      <c r="I249" s="166" t="s">
        <v>8</v>
      </c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30"/>
      <c r="V249" s="30"/>
      <c r="W249" s="30"/>
    </row>
    <row r="250" spans="1:23" s="152" customFormat="1" ht="20.100000000000001" customHeight="1" x14ac:dyDescent="0.25">
      <c r="A250" s="174"/>
      <c r="B250" s="56">
        <f t="shared" ref="B250:B251" si="23">MAX(B233:B249)+1</f>
        <v>201</v>
      </c>
      <c r="C250" s="71" t="s">
        <v>617</v>
      </c>
      <c r="D250" s="166" t="s">
        <v>8</v>
      </c>
      <c r="E250" s="47"/>
      <c r="F250" s="23" t="s">
        <v>616</v>
      </c>
      <c r="G250" s="167">
        <v>45657</v>
      </c>
      <c r="H250" s="167">
        <v>45667</v>
      </c>
      <c r="I250" s="166" t="s">
        <v>8</v>
      </c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30"/>
      <c r="V250" s="30"/>
      <c r="W250" s="30"/>
    </row>
    <row r="251" spans="1:23" s="152" customFormat="1" ht="20.100000000000001" customHeight="1" x14ac:dyDescent="0.25">
      <c r="A251" s="174"/>
      <c r="B251" s="56">
        <f t="shared" si="23"/>
        <v>202</v>
      </c>
      <c r="C251" s="71" t="s">
        <v>632</v>
      </c>
      <c r="D251" s="166" t="s">
        <v>10</v>
      </c>
      <c r="E251" s="47"/>
      <c r="F251" s="23" t="s">
        <v>629</v>
      </c>
      <c r="G251" s="167">
        <v>45679</v>
      </c>
      <c r="H251" s="167">
        <v>45687</v>
      </c>
      <c r="I251" s="166" t="s">
        <v>10</v>
      </c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30"/>
      <c r="V251" s="30"/>
      <c r="W251" s="30"/>
    </row>
    <row r="252" spans="1:23" s="152" customFormat="1" ht="20.100000000000001" customHeight="1" x14ac:dyDescent="0.25">
      <c r="A252" s="174"/>
      <c r="B252" s="134" t="s">
        <v>143</v>
      </c>
      <c r="C252" s="135" t="s">
        <v>22</v>
      </c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7"/>
      <c r="V252" s="137"/>
      <c r="W252" s="137"/>
    </row>
    <row r="253" spans="1:23" s="152" customFormat="1" ht="20.100000000000001" customHeight="1" x14ac:dyDescent="0.25">
      <c r="A253" s="174"/>
      <c r="B253" s="56">
        <f>MAX(B228:B252)+1</f>
        <v>203</v>
      </c>
      <c r="C253" s="170" t="s">
        <v>565</v>
      </c>
      <c r="D253" s="166" t="s">
        <v>8</v>
      </c>
      <c r="E253" s="47"/>
      <c r="F253" s="23" t="s">
        <v>562</v>
      </c>
      <c r="G253" s="167">
        <v>45649</v>
      </c>
      <c r="H253" s="167">
        <v>45652</v>
      </c>
      <c r="I253" s="166" t="s">
        <v>8</v>
      </c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30"/>
      <c r="V253" s="30"/>
      <c r="W253" s="30"/>
    </row>
    <row r="254" spans="1:23" s="152" customFormat="1" ht="20.100000000000001" customHeight="1" x14ac:dyDescent="0.25">
      <c r="A254" s="174"/>
      <c r="B254" s="56">
        <f>MAX(B229:B253)+1</f>
        <v>204</v>
      </c>
      <c r="C254" s="170" t="s">
        <v>566</v>
      </c>
      <c r="D254" s="166" t="s">
        <v>9</v>
      </c>
      <c r="E254" s="47"/>
      <c r="F254" s="23" t="s">
        <v>563</v>
      </c>
      <c r="G254" s="167">
        <v>45649</v>
      </c>
      <c r="H254" s="167">
        <v>45652</v>
      </c>
      <c r="I254" s="166" t="s">
        <v>9</v>
      </c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30"/>
      <c r="V254" s="30"/>
      <c r="W254" s="30"/>
    </row>
    <row r="255" spans="1:23" s="152" customFormat="1" ht="20.100000000000001" customHeight="1" x14ac:dyDescent="0.25">
      <c r="A255" s="174"/>
      <c r="B255" s="56">
        <f>MAX(B231:B254)+1</f>
        <v>205</v>
      </c>
      <c r="C255" s="170" t="s">
        <v>567</v>
      </c>
      <c r="D255" s="166" t="s">
        <v>9</v>
      </c>
      <c r="E255" s="47"/>
      <c r="F255" s="23" t="s">
        <v>564</v>
      </c>
      <c r="G255" s="167">
        <v>45649</v>
      </c>
      <c r="H255" s="167">
        <v>45652</v>
      </c>
      <c r="I255" s="166" t="s">
        <v>9</v>
      </c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30"/>
      <c r="V255" s="30"/>
      <c r="W255" s="30"/>
    </row>
    <row r="256" spans="1:23" ht="20.100000000000001" customHeight="1" x14ac:dyDescent="0.25">
      <c r="B256" s="141" t="s">
        <v>32</v>
      </c>
      <c r="C256" s="67" t="s">
        <v>90</v>
      </c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8"/>
      <c r="V256" s="58"/>
      <c r="W256" s="156"/>
    </row>
    <row r="257" spans="1:23" s="152" customFormat="1" ht="20.100000000000001" customHeight="1" x14ac:dyDescent="0.25">
      <c r="A257" s="174"/>
      <c r="B257" s="134" t="s">
        <v>0</v>
      </c>
      <c r="C257" s="135" t="s">
        <v>20</v>
      </c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7"/>
      <c r="V257" s="137"/>
      <c r="W257" s="137"/>
    </row>
    <row r="258" spans="1:23" s="152" customFormat="1" ht="20.100000000000001" customHeight="1" x14ac:dyDescent="0.25">
      <c r="A258" s="174"/>
      <c r="B258" s="56">
        <f>MAX(B235:B257)+1</f>
        <v>206</v>
      </c>
      <c r="C258" s="71" t="s">
        <v>584</v>
      </c>
      <c r="D258" s="166" t="s">
        <v>8</v>
      </c>
      <c r="E258" s="47"/>
      <c r="F258" s="23" t="s">
        <v>587</v>
      </c>
      <c r="G258" s="167">
        <v>45654</v>
      </c>
      <c r="H258" s="167">
        <v>45667</v>
      </c>
      <c r="I258" s="166" t="s">
        <v>8</v>
      </c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30"/>
      <c r="V258" s="30"/>
      <c r="W258" s="30"/>
    </row>
    <row r="259" spans="1:23" s="152" customFormat="1" ht="20.100000000000001" customHeight="1" x14ac:dyDescent="0.25">
      <c r="A259" s="174"/>
      <c r="B259" s="56">
        <f>MAX(B236:B258)+1</f>
        <v>207</v>
      </c>
      <c r="C259" s="71" t="s">
        <v>588</v>
      </c>
      <c r="D259" s="166" t="s">
        <v>8</v>
      </c>
      <c r="E259" s="47"/>
      <c r="F259" s="23" t="s">
        <v>589</v>
      </c>
      <c r="G259" s="167">
        <v>45654</v>
      </c>
      <c r="H259" s="167">
        <v>45667</v>
      </c>
      <c r="I259" s="166" t="s">
        <v>8</v>
      </c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30"/>
      <c r="V259" s="30"/>
      <c r="W259" s="30"/>
    </row>
    <row r="260" spans="1:23" s="152" customFormat="1" ht="20.100000000000001" customHeight="1" x14ac:dyDescent="0.25">
      <c r="A260" s="174"/>
      <c r="B260" s="56">
        <f>MAX(B237:B259)+1</f>
        <v>208</v>
      </c>
      <c r="C260" s="71" t="s">
        <v>585</v>
      </c>
      <c r="D260" s="166" t="s">
        <v>8</v>
      </c>
      <c r="E260" s="47"/>
      <c r="F260" s="23" t="s">
        <v>590</v>
      </c>
      <c r="G260" s="167">
        <v>45654</v>
      </c>
      <c r="H260" s="167">
        <v>45667</v>
      </c>
      <c r="I260" s="166" t="s">
        <v>8</v>
      </c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30"/>
      <c r="V260" s="30"/>
      <c r="W260" s="30"/>
    </row>
    <row r="261" spans="1:23" s="152" customFormat="1" ht="20.100000000000001" customHeight="1" x14ac:dyDescent="0.25">
      <c r="A261" s="174"/>
      <c r="B261" s="56">
        <f>MAX(B238:B260)+1</f>
        <v>209</v>
      </c>
      <c r="C261" s="71" t="s">
        <v>586</v>
      </c>
      <c r="D261" s="166" t="s">
        <v>8</v>
      </c>
      <c r="E261" s="47"/>
      <c r="F261" s="23" t="s">
        <v>591</v>
      </c>
      <c r="G261" s="167">
        <v>45654</v>
      </c>
      <c r="H261" s="167">
        <v>45667</v>
      </c>
      <c r="I261" s="166" t="s">
        <v>8</v>
      </c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30"/>
      <c r="V261" s="30"/>
      <c r="W261" s="30"/>
    </row>
    <row r="262" spans="1:23" s="152" customFormat="1" ht="20.100000000000001" customHeight="1" x14ac:dyDescent="0.25">
      <c r="A262" s="174"/>
      <c r="B262" s="56">
        <f>MAX(B245:B261)+1</f>
        <v>210</v>
      </c>
      <c r="C262" s="71" t="s">
        <v>595</v>
      </c>
      <c r="D262" s="166" t="s">
        <v>8</v>
      </c>
      <c r="E262" s="47"/>
      <c r="F262" s="23" t="s">
        <v>592</v>
      </c>
      <c r="G262" s="167">
        <v>45654</v>
      </c>
      <c r="H262" s="167">
        <v>45667</v>
      </c>
      <c r="I262" s="166" t="s">
        <v>8</v>
      </c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30"/>
      <c r="V262" s="30"/>
      <c r="W262" s="158"/>
    </row>
    <row r="263" spans="1:23" s="152" customFormat="1" ht="20.100000000000001" customHeight="1" x14ac:dyDescent="0.25">
      <c r="A263" s="174"/>
      <c r="B263" s="56">
        <f t="shared" ref="B263:B265" si="24">MAX(B246:B262)+1</f>
        <v>211</v>
      </c>
      <c r="C263" s="71" t="s">
        <v>593</v>
      </c>
      <c r="D263" s="166" t="s">
        <v>8</v>
      </c>
      <c r="E263" s="47"/>
      <c r="F263" s="23" t="s">
        <v>596</v>
      </c>
      <c r="G263" s="167">
        <v>45654</v>
      </c>
      <c r="H263" s="167">
        <v>45667</v>
      </c>
      <c r="I263" s="166" t="s">
        <v>8</v>
      </c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30"/>
      <c r="V263" s="30"/>
      <c r="W263" s="158"/>
    </row>
    <row r="264" spans="1:23" s="152" customFormat="1" ht="20.100000000000001" customHeight="1" x14ac:dyDescent="0.25">
      <c r="A264" s="174"/>
      <c r="B264" s="56">
        <f t="shared" si="24"/>
        <v>212</v>
      </c>
      <c r="C264" s="71" t="s">
        <v>594</v>
      </c>
      <c r="D264" s="166" t="s">
        <v>8</v>
      </c>
      <c r="E264" s="47"/>
      <c r="F264" s="23" t="s">
        <v>597</v>
      </c>
      <c r="G264" s="167">
        <v>45654</v>
      </c>
      <c r="H264" s="167">
        <v>45667</v>
      </c>
      <c r="I264" s="166" t="s">
        <v>8</v>
      </c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30"/>
      <c r="V264" s="30"/>
      <c r="W264" s="158"/>
    </row>
    <row r="265" spans="1:23" s="152" customFormat="1" ht="20.100000000000001" customHeight="1" x14ac:dyDescent="0.25">
      <c r="A265" s="174"/>
      <c r="B265" s="56">
        <f t="shared" si="24"/>
        <v>213</v>
      </c>
      <c r="C265" s="71" t="s">
        <v>611</v>
      </c>
      <c r="D265" s="166" t="s">
        <v>8</v>
      </c>
      <c r="E265" s="47"/>
      <c r="F265" s="23" t="s">
        <v>612</v>
      </c>
      <c r="G265" s="167">
        <v>45657</v>
      </c>
      <c r="H265" s="167">
        <v>45667</v>
      </c>
      <c r="I265" s="166" t="s">
        <v>8</v>
      </c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30"/>
      <c r="V265" s="30"/>
      <c r="W265" s="158"/>
    </row>
    <row r="266" spans="1:23" s="152" customFormat="1" ht="20.100000000000001" customHeight="1" x14ac:dyDescent="0.25">
      <c r="A266" s="174"/>
      <c r="B266" s="134" t="s">
        <v>1</v>
      </c>
      <c r="C266" s="135" t="s">
        <v>21</v>
      </c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7"/>
      <c r="V266" s="137"/>
      <c r="W266" s="137"/>
    </row>
    <row r="267" spans="1:23" s="152" customFormat="1" ht="20.100000000000001" customHeight="1" x14ac:dyDescent="0.25">
      <c r="A267" s="174"/>
      <c r="B267" s="56">
        <f>MAX(B236:B266)+1</f>
        <v>214</v>
      </c>
      <c r="C267" s="71" t="s">
        <v>626</v>
      </c>
      <c r="D267" s="166" t="s">
        <v>8</v>
      </c>
      <c r="E267" s="47"/>
      <c r="F267" s="23" t="s">
        <v>577</v>
      </c>
      <c r="G267" s="167">
        <v>45654</v>
      </c>
      <c r="H267" s="167">
        <v>45667</v>
      </c>
      <c r="I267" s="166" t="s">
        <v>8</v>
      </c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30"/>
      <c r="V267" s="30"/>
      <c r="W267" s="30"/>
    </row>
    <row r="268" spans="1:23" s="152" customFormat="1" ht="20.100000000000001" customHeight="1" x14ac:dyDescent="0.25">
      <c r="A268" s="174"/>
      <c r="B268" s="56">
        <f t="shared" ref="B268" si="25">MAX(B250:B267)+1</f>
        <v>215</v>
      </c>
      <c r="C268" s="71" t="s">
        <v>620</v>
      </c>
      <c r="D268" s="166" t="s">
        <v>9</v>
      </c>
      <c r="E268" s="47"/>
      <c r="F268" s="23" t="s">
        <v>619</v>
      </c>
      <c r="G268" s="167">
        <v>45657</v>
      </c>
      <c r="H268" s="167">
        <v>45667</v>
      </c>
      <c r="I268" s="166" t="s">
        <v>9</v>
      </c>
      <c r="J268" s="167">
        <v>45678</v>
      </c>
      <c r="K268" s="167">
        <v>45687</v>
      </c>
      <c r="L268" s="166" t="s">
        <v>9</v>
      </c>
      <c r="M268" s="47"/>
      <c r="N268" s="47"/>
      <c r="O268" s="47"/>
      <c r="P268" s="47"/>
      <c r="Q268" s="47"/>
      <c r="R268" s="47"/>
      <c r="S268" s="47"/>
      <c r="T268" s="47"/>
      <c r="U268" s="30"/>
      <c r="V268" s="30"/>
      <c r="W268" s="30"/>
    </row>
    <row r="269" spans="1:23" s="152" customFormat="1" ht="20.100000000000001" customHeight="1" x14ac:dyDescent="0.25">
      <c r="A269" s="174"/>
      <c r="B269" s="56">
        <f t="shared" ref="B269" si="26">MAX(B252:B268)+1</f>
        <v>216</v>
      </c>
      <c r="C269" s="71" t="s">
        <v>630</v>
      </c>
      <c r="D269" s="166" t="s">
        <v>10</v>
      </c>
      <c r="E269" s="47"/>
      <c r="F269" s="23" t="s">
        <v>631</v>
      </c>
      <c r="G269" s="167">
        <v>45679</v>
      </c>
      <c r="H269" s="167">
        <v>45687</v>
      </c>
      <c r="I269" s="166" t="s">
        <v>10</v>
      </c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30"/>
      <c r="V269" s="30"/>
      <c r="W269" s="30"/>
    </row>
    <row r="270" spans="1:23" s="152" customFormat="1" ht="20.100000000000001" customHeight="1" x14ac:dyDescent="0.25">
      <c r="A270" s="174"/>
      <c r="B270" s="134" t="s">
        <v>143</v>
      </c>
      <c r="C270" s="135" t="s">
        <v>22</v>
      </c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7"/>
      <c r="V270" s="137"/>
      <c r="W270" s="137"/>
    </row>
    <row r="271" spans="1:23" s="152" customFormat="1" ht="20.100000000000001" customHeight="1" x14ac:dyDescent="0.25">
      <c r="A271" s="174"/>
      <c r="B271" s="56">
        <f>MAX(B238:B270)+1</f>
        <v>217</v>
      </c>
      <c r="C271" s="71" t="s">
        <v>578</v>
      </c>
      <c r="D271" s="166" t="s">
        <v>8</v>
      </c>
      <c r="E271" s="47"/>
      <c r="F271" s="23" t="s">
        <v>579</v>
      </c>
      <c r="G271" s="167">
        <v>45654</v>
      </c>
      <c r="H271" s="167">
        <v>45667</v>
      </c>
      <c r="I271" s="166" t="s">
        <v>8</v>
      </c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30"/>
      <c r="V271" s="30"/>
      <c r="W271" s="208"/>
    </row>
    <row r="272" spans="1:23" s="152" customFormat="1" ht="20.100000000000001" customHeight="1" x14ac:dyDescent="0.25">
      <c r="A272" s="174"/>
      <c r="B272" s="56">
        <f>MAX(B239:B271)+1</f>
        <v>218</v>
      </c>
      <c r="C272" s="71" t="s">
        <v>580</v>
      </c>
      <c r="D272" s="166" t="s">
        <v>8</v>
      </c>
      <c r="E272" s="47"/>
      <c r="F272" s="23" t="s">
        <v>581</v>
      </c>
      <c r="G272" s="167">
        <v>45654</v>
      </c>
      <c r="H272" s="167">
        <v>45667</v>
      </c>
      <c r="I272" s="166" t="s">
        <v>8</v>
      </c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30"/>
      <c r="V272" s="30"/>
      <c r="W272" s="208"/>
    </row>
    <row r="273" spans="1:23" s="152" customFormat="1" ht="20.100000000000001" customHeight="1" x14ac:dyDescent="0.25">
      <c r="A273" s="174"/>
      <c r="B273" s="56">
        <f>MAX(B240:B272)+1</f>
        <v>219</v>
      </c>
      <c r="C273" s="71" t="s">
        <v>582</v>
      </c>
      <c r="D273" s="166" t="s">
        <v>8</v>
      </c>
      <c r="E273" s="47"/>
      <c r="F273" s="23" t="s">
        <v>583</v>
      </c>
      <c r="G273" s="167">
        <v>45654</v>
      </c>
      <c r="H273" s="167">
        <v>45667</v>
      </c>
      <c r="I273" s="166" t="s">
        <v>8</v>
      </c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30"/>
      <c r="V273" s="30"/>
      <c r="W273" s="208"/>
    </row>
    <row r="274" spans="1:23" ht="20.100000000000001" customHeight="1" x14ac:dyDescent="0.25">
      <c r="B274" s="141" t="s">
        <v>24</v>
      </c>
      <c r="C274" s="67" t="s">
        <v>91</v>
      </c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8"/>
      <c r="V274" s="58"/>
      <c r="W274" s="58"/>
    </row>
    <row r="275" spans="1:23" s="152" customFormat="1" ht="20.100000000000001" customHeight="1" x14ac:dyDescent="0.25">
      <c r="A275" s="174"/>
      <c r="B275" s="134" t="s">
        <v>0</v>
      </c>
      <c r="C275" s="135" t="s">
        <v>20</v>
      </c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7"/>
      <c r="V275" s="137"/>
      <c r="W275" s="137"/>
    </row>
    <row r="276" spans="1:23" s="152" customFormat="1" ht="20.100000000000001" customHeight="1" x14ac:dyDescent="0.25">
      <c r="A276" s="174"/>
      <c r="B276" s="56">
        <f>MAX(B243:B275)+1</f>
        <v>220</v>
      </c>
      <c r="C276" s="71" t="s">
        <v>599</v>
      </c>
      <c r="D276" s="166" t="s">
        <v>8</v>
      </c>
      <c r="E276" s="47"/>
      <c r="F276" s="23" t="s">
        <v>603</v>
      </c>
      <c r="G276" s="167">
        <v>45654</v>
      </c>
      <c r="H276" s="167">
        <v>45667</v>
      </c>
      <c r="I276" s="166" t="s">
        <v>8</v>
      </c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30"/>
      <c r="V276" s="30"/>
      <c r="W276" s="208"/>
    </row>
    <row r="277" spans="1:23" s="152" customFormat="1" ht="20.100000000000001" customHeight="1" x14ac:dyDescent="0.25">
      <c r="A277" s="174"/>
      <c r="B277" s="56">
        <f t="shared" ref="B277:B281" si="27">MAX(B244:B276)+1</f>
        <v>221</v>
      </c>
      <c r="C277" s="71" t="s">
        <v>609</v>
      </c>
      <c r="D277" s="166" t="s">
        <v>8</v>
      </c>
      <c r="E277" s="47"/>
      <c r="F277" s="23" t="s">
        <v>604</v>
      </c>
      <c r="G277" s="167">
        <v>45654</v>
      </c>
      <c r="H277" s="167">
        <v>45667</v>
      </c>
      <c r="I277" s="166" t="s">
        <v>8</v>
      </c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30"/>
      <c r="V277" s="30"/>
      <c r="W277" s="208"/>
    </row>
    <row r="278" spans="1:23" s="152" customFormat="1" ht="20.100000000000001" customHeight="1" x14ac:dyDescent="0.25">
      <c r="A278" s="174"/>
      <c r="B278" s="56">
        <f t="shared" si="27"/>
        <v>222</v>
      </c>
      <c r="C278" s="71" t="s">
        <v>600</v>
      </c>
      <c r="D278" s="166" t="s">
        <v>8</v>
      </c>
      <c r="E278" s="47"/>
      <c r="F278" s="23" t="s">
        <v>606</v>
      </c>
      <c r="G278" s="167">
        <v>45654</v>
      </c>
      <c r="H278" s="167">
        <v>45667</v>
      </c>
      <c r="I278" s="166" t="s">
        <v>8</v>
      </c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30"/>
      <c r="V278" s="30"/>
      <c r="W278" s="208"/>
    </row>
    <row r="279" spans="1:23" s="152" customFormat="1" ht="20.100000000000001" customHeight="1" x14ac:dyDescent="0.25">
      <c r="A279" s="174"/>
      <c r="B279" s="56">
        <f t="shared" si="27"/>
        <v>223</v>
      </c>
      <c r="C279" s="71" t="s">
        <v>601</v>
      </c>
      <c r="D279" s="166" t="s">
        <v>8</v>
      </c>
      <c r="E279" s="47"/>
      <c r="F279" s="23" t="s">
        <v>607</v>
      </c>
      <c r="G279" s="167">
        <v>45654</v>
      </c>
      <c r="H279" s="167">
        <v>45667</v>
      </c>
      <c r="I279" s="166" t="s">
        <v>8</v>
      </c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30"/>
      <c r="V279" s="30"/>
      <c r="W279" s="208"/>
    </row>
    <row r="280" spans="1:23" s="152" customFormat="1" ht="20.100000000000001" customHeight="1" x14ac:dyDescent="0.25">
      <c r="A280" s="174"/>
      <c r="B280" s="56">
        <f t="shared" si="27"/>
        <v>224</v>
      </c>
      <c r="C280" s="71" t="s">
        <v>602</v>
      </c>
      <c r="D280" s="166" t="s">
        <v>8</v>
      </c>
      <c r="E280" s="47"/>
      <c r="F280" s="23" t="s">
        <v>608</v>
      </c>
      <c r="G280" s="167">
        <v>45654</v>
      </c>
      <c r="H280" s="167">
        <v>45667</v>
      </c>
      <c r="I280" s="166" t="s">
        <v>8</v>
      </c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30"/>
      <c r="V280" s="30"/>
      <c r="W280" s="208"/>
    </row>
    <row r="281" spans="1:23" s="152" customFormat="1" ht="20.100000000000001" customHeight="1" x14ac:dyDescent="0.25">
      <c r="A281" s="174"/>
      <c r="B281" s="56">
        <f t="shared" si="27"/>
        <v>225</v>
      </c>
      <c r="C281" s="71" t="s">
        <v>613</v>
      </c>
      <c r="D281" s="166" t="s">
        <v>8</v>
      </c>
      <c r="E281" s="47"/>
      <c r="F281" s="23" t="s">
        <v>614</v>
      </c>
      <c r="G281" s="167">
        <v>45657</v>
      </c>
      <c r="H281" s="167">
        <v>45667</v>
      </c>
      <c r="I281" s="166" t="s">
        <v>8</v>
      </c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30"/>
      <c r="V281" s="30"/>
      <c r="W281" s="208"/>
    </row>
    <row r="282" spans="1:23" s="152" customFormat="1" ht="20.100000000000001" customHeight="1" x14ac:dyDescent="0.25">
      <c r="A282" s="174"/>
      <c r="B282" s="134" t="s">
        <v>1</v>
      </c>
      <c r="C282" s="135" t="s">
        <v>21</v>
      </c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7"/>
      <c r="V282" s="137"/>
      <c r="W282" s="137"/>
    </row>
    <row r="283" spans="1:23" s="152" customFormat="1" ht="20.100000000000001" customHeight="1" x14ac:dyDescent="0.25">
      <c r="A283" s="174"/>
      <c r="B283" s="56">
        <f t="shared" ref="B283" si="28">MAX(B265:B282)+1</f>
        <v>226</v>
      </c>
      <c r="C283" s="71" t="s">
        <v>618</v>
      </c>
      <c r="D283" s="166" t="s">
        <v>10</v>
      </c>
      <c r="E283" s="47"/>
      <c r="F283" s="23" t="s">
        <v>621</v>
      </c>
      <c r="G283" s="167">
        <v>45657</v>
      </c>
      <c r="H283" s="167">
        <v>45667</v>
      </c>
      <c r="I283" s="166" t="s">
        <v>10</v>
      </c>
      <c r="J283" s="167">
        <v>45678</v>
      </c>
      <c r="K283" s="167">
        <v>45687</v>
      </c>
      <c r="L283" s="166" t="s">
        <v>10</v>
      </c>
      <c r="M283" s="47"/>
      <c r="N283" s="47"/>
      <c r="O283" s="47"/>
      <c r="P283" s="47"/>
      <c r="Q283" s="47"/>
      <c r="R283" s="47"/>
      <c r="S283" s="47"/>
      <c r="T283" s="47"/>
      <c r="U283" s="30"/>
      <c r="V283" s="30"/>
      <c r="W283" s="30"/>
    </row>
    <row r="284" spans="1:23" s="152" customFormat="1" ht="20.100000000000001" customHeight="1" x14ac:dyDescent="0.25">
      <c r="A284" s="174"/>
      <c r="B284" s="134" t="s">
        <v>143</v>
      </c>
      <c r="C284" s="135" t="s">
        <v>22</v>
      </c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7"/>
      <c r="V284" s="137"/>
      <c r="W284" s="137"/>
    </row>
    <row r="285" spans="1:23" ht="20.100000000000001" customHeight="1" x14ac:dyDescent="0.25">
      <c r="B285" s="141" t="s">
        <v>640</v>
      </c>
      <c r="C285" s="67" t="s">
        <v>16</v>
      </c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8"/>
      <c r="V285" s="58"/>
      <c r="W285" s="155"/>
    </row>
    <row r="286" spans="1:23" s="152" customFormat="1" ht="20.100000000000001" customHeight="1" x14ac:dyDescent="0.25">
      <c r="A286" s="174"/>
      <c r="B286" s="56">
        <f t="shared" ref="B286" si="29">MAX(B268:B285)+1</f>
        <v>227</v>
      </c>
      <c r="C286" s="71" t="s">
        <v>610</v>
      </c>
      <c r="D286" s="166" t="s">
        <v>8</v>
      </c>
      <c r="E286" s="47"/>
      <c r="F286" s="23" t="s">
        <v>605</v>
      </c>
      <c r="G286" s="167">
        <v>45654</v>
      </c>
      <c r="H286" s="167">
        <v>45667</v>
      </c>
      <c r="I286" s="166" t="s">
        <v>8</v>
      </c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30"/>
      <c r="V286" s="30"/>
      <c r="W286" s="30"/>
    </row>
    <row r="287" spans="1:23" ht="20.100000000000001" customHeight="1" x14ac:dyDescent="0.25">
      <c r="B287" s="22" t="str">
        <f>IF(C287="","",MAX($B$6:B285)+1)</f>
        <v/>
      </c>
      <c r="C287" s="73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1"/>
      <c r="V287" s="31"/>
      <c r="W287" s="157"/>
    </row>
    <row r="288" spans="1:23" ht="30" customHeight="1" x14ac:dyDescent="0.25">
      <c r="B288" s="142"/>
      <c r="C288" s="1"/>
      <c r="D288" s="4"/>
      <c r="E288" s="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30" customHeight="1" x14ac:dyDescent="0.25">
      <c r="B289" s="142"/>
      <c r="C289" s="1"/>
      <c r="D289" s="4"/>
      <c r="E289" s="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30" customHeight="1" x14ac:dyDescent="0.25">
      <c r="B290" s="142"/>
      <c r="C290" s="1"/>
      <c r="D290" s="4"/>
      <c r="E290" s="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30" customHeight="1" x14ac:dyDescent="0.25">
      <c r="B291" s="142"/>
    </row>
    <row r="292" spans="1:23" ht="30" customHeight="1" x14ac:dyDescent="0.25">
      <c r="B292" s="142"/>
    </row>
    <row r="293" spans="1:23" ht="30" customHeight="1" x14ac:dyDescent="0.25">
      <c r="B293" s="142"/>
    </row>
    <row r="294" spans="1:23" s="75" customFormat="1" ht="30" customHeight="1" x14ac:dyDescent="0.2">
      <c r="A294" s="5"/>
      <c r="B294" s="142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s="75" customFormat="1" ht="30" customHeight="1" x14ac:dyDescent="0.2">
      <c r="A295" s="5"/>
      <c r="B295" s="142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s="75" customFormat="1" ht="30" customHeight="1" x14ac:dyDescent="0.2">
      <c r="A296" s="5"/>
      <c r="B296" s="142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s="75" customFormat="1" ht="30" customHeight="1" x14ac:dyDescent="0.2">
      <c r="A297" s="5"/>
      <c r="B297" s="142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s="75" customFormat="1" ht="30" customHeight="1" x14ac:dyDescent="0.2">
      <c r="A298" s="5"/>
      <c r="B298" s="142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s="75" customFormat="1" ht="30" customHeight="1" x14ac:dyDescent="0.2">
      <c r="A299" s="5"/>
      <c r="B299" s="142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s="75" customFormat="1" ht="30" customHeight="1" x14ac:dyDescent="0.2">
      <c r="A300" s="5"/>
      <c r="B300" s="142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s="75" customFormat="1" ht="30" customHeight="1" x14ac:dyDescent="0.2">
      <c r="A301" s="5"/>
      <c r="B301" s="142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s="75" customFormat="1" ht="30" customHeight="1" x14ac:dyDescent="0.2">
      <c r="A302" s="5"/>
      <c r="B302" s="142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s="75" customFormat="1" ht="30" customHeight="1" x14ac:dyDescent="0.2">
      <c r="A303" s="5"/>
      <c r="B303" s="142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s="75" customFormat="1" ht="30" customHeight="1" x14ac:dyDescent="0.2">
      <c r="A304" s="5"/>
      <c r="B304" s="142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s="75" customFormat="1" ht="30" customHeight="1" x14ac:dyDescent="0.2">
      <c r="A305" s="5"/>
      <c r="B305" s="142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s="75" customFormat="1" ht="30" customHeight="1" x14ac:dyDescent="0.2">
      <c r="A306" s="5"/>
      <c r="B306" s="142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s="75" customFormat="1" ht="30" customHeight="1" x14ac:dyDescent="0.2">
      <c r="A307" s="5"/>
      <c r="B307" s="142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s="75" customFormat="1" ht="30" customHeight="1" x14ac:dyDescent="0.2">
      <c r="A308" s="5"/>
      <c r="B308" s="142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s="75" customFormat="1" ht="30" customHeight="1" x14ac:dyDescent="0.2">
      <c r="A309" s="5"/>
      <c r="B309" s="142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s="75" customFormat="1" ht="30" customHeight="1" x14ac:dyDescent="0.2">
      <c r="A310" s="5"/>
      <c r="B310" s="142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 s="75" customFormat="1" ht="30" customHeight="1" x14ac:dyDescent="0.2">
      <c r="A311" s="5"/>
      <c r="B311" s="142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s="75" customFormat="1" ht="30" customHeight="1" x14ac:dyDescent="0.2">
      <c r="A312" s="5"/>
      <c r="B312" s="142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s="75" customFormat="1" ht="30" customHeight="1" x14ac:dyDescent="0.2">
      <c r="A313" s="5"/>
      <c r="B313" s="142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s="75" customFormat="1" ht="30" customHeight="1" x14ac:dyDescent="0.2">
      <c r="A314" s="5"/>
      <c r="B314" s="142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s="75" customFormat="1" ht="30" customHeight="1" x14ac:dyDescent="0.2">
      <c r="A315" s="5"/>
      <c r="B315" s="142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s="75" customFormat="1" ht="30" customHeight="1" x14ac:dyDescent="0.2">
      <c r="A316" s="5"/>
      <c r="B316" s="142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s="75" customFormat="1" ht="30" customHeight="1" x14ac:dyDescent="0.2">
      <c r="A317" s="5"/>
      <c r="B317" s="142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s="75" customFormat="1" ht="30" customHeight="1" x14ac:dyDescent="0.2">
      <c r="A318" s="5"/>
      <c r="B318" s="142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 s="75" customFormat="1" ht="30" customHeight="1" x14ac:dyDescent="0.2">
      <c r="A319" s="5"/>
      <c r="B319" s="142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s="75" customFormat="1" ht="30" customHeight="1" x14ac:dyDescent="0.2">
      <c r="A320" s="5"/>
      <c r="B320" s="142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s="75" customFormat="1" ht="30" customHeight="1" x14ac:dyDescent="0.2">
      <c r="A321" s="5"/>
      <c r="B321" s="142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s="75" customFormat="1" ht="30" customHeight="1" x14ac:dyDescent="0.2">
      <c r="A322" s="5"/>
      <c r="B322" s="142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 s="75" customFormat="1" ht="30" customHeight="1" x14ac:dyDescent="0.2">
      <c r="A323" s="5"/>
      <c r="B323" s="142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s="75" customFormat="1" ht="30" customHeight="1" x14ac:dyDescent="0.2">
      <c r="A324" s="5"/>
      <c r="B324" s="142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 s="75" customFormat="1" ht="30" customHeight="1" x14ac:dyDescent="0.2">
      <c r="A325" s="5"/>
      <c r="B325" s="142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 s="75" customFormat="1" ht="30" customHeight="1" x14ac:dyDescent="0.2">
      <c r="A326" s="5"/>
      <c r="B326" s="142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 s="75" customFormat="1" ht="30" customHeight="1" x14ac:dyDescent="0.2">
      <c r="A327" s="5"/>
      <c r="B327" s="142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 s="75" customFormat="1" ht="30" customHeight="1" x14ac:dyDescent="0.2">
      <c r="A328" s="5"/>
      <c r="B328" s="142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 s="75" customFormat="1" ht="30" customHeight="1" x14ac:dyDescent="0.2">
      <c r="A329" s="5"/>
      <c r="B329" s="142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 s="75" customFormat="1" ht="30" customHeight="1" x14ac:dyDescent="0.2">
      <c r="A330" s="5"/>
      <c r="B330" s="142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 s="75" customFormat="1" ht="30" customHeight="1" x14ac:dyDescent="0.2">
      <c r="A331" s="5"/>
      <c r="B331" s="142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 s="75" customFormat="1" ht="30" customHeight="1" x14ac:dyDescent="0.2">
      <c r="A332" s="5"/>
      <c r="B332" s="142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 s="75" customFormat="1" ht="30" customHeight="1" x14ac:dyDescent="0.2">
      <c r="A333" s="5"/>
      <c r="B333" s="142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 s="75" customFormat="1" ht="30" customHeight="1" x14ac:dyDescent="0.2">
      <c r="A334" s="5"/>
      <c r="B334" s="142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s="75" customFormat="1" ht="30" customHeight="1" x14ac:dyDescent="0.2">
      <c r="A335" s="5"/>
      <c r="B335" s="142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 s="75" customFormat="1" ht="30" customHeight="1" x14ac:dyDescent="0.2">
      <c r="A336" s="5"/>
      <c r="B336" s="142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 s="75" customFormat="1" ht="30" customHeight="1" x14ac:dyDescent="0.2">
      <c r="A337" s="5"/>
      <c r="B337" s="142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 s="75" customFormat="1" ht="30" customHeight="1" x14ac:dyDescent="0.2">
      <c r="A338" s="5"/>
      <c r="B338" s="142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 s="75" customFormat="1" ht="30" customHeight="1" x14ac:dyDescent="0.2">
      <c r="A339" s="5"/>
      <c r="B339" s="142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 s="75" customFormat="1" ht="30" customHeight="1" x14ac:dyDescent="0.2">
      <c r="A340" s="5"/>
      <c r="B340" s="142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s="75" customFormat="1" ht="30" customHeight="1" x14ac:dyDescent="0.2">
      <c r="A341" s="5"/>
      <c r="B341" s="142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 s="75" customFormat="1" ht="30" customHeight="1" x14ac:dyDescent="0.2">
      <c r="A342" s="5"/>
      <c r="B342" s="142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 s="75" customFormat="1" ht="30" customHeight="1" x14ac:dyDescent="0.2">
      <c r="A343" s="5"/>
      <c r="B343" s="142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s="75" customFormat="1" ht="30" customHeight="1" x14ac:dyDescent="0.2">
      <c r="A344" s="5"/>
      <c r="B344" s="142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 s="75" customFormat="1" ht="30" customHeight="1" x14ac:dyDescent="0.2">
      <c r="A345" s="5"/>
      <c r="B345" s="142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 s="75" customFormat="1" ht="30" customHeight="1" x14ac:dyDescent="0.2">
      <c r="A346" s="5"/>
      <c r="B346" s="142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 s="75" customFormat="1" ht="30" customHeight="1" x14ac:dyDescent="0.2">
      <c r="A347" s="5"/>
      <c r="B347" s="142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:23" s="75" customFormat="1" ht="30" customHeight="1" x14ac:dyDescent="0.2">
      <c r="A348" s="5"/>
      <c r="B348" s="142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 s="75" customFormat="1" ht="30" customHeight="1" x14ac:dyDescent="0.2">
      <c r="A349" s="5"/>
      <c r="B349" s="142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 s="75" customFormat="1" ht="30" customHeight="1" x14ac:dyDescent="0.2">
      <c r="A350" s="5"/>
      <c r="B350" s="142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 s="75" customFormat="1" ht="30" customHeight="1" x14ac:dyDescent="0.2">
      <c r="A351" s="5"/>
      <c r="B351" s="142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 s="75" customFormat="1" ht="30" customHeight="1" x14ac:dyDescent="0.2">
      <c r="A352" s="5"/>
      <c r="B352" s="142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 s="75" customFormat="1" ht="30" customHeight="1" x14ac:dyDescent="0.2">
      <c r="A353" s="5"/>
      <c r="B353" s="142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 s="75" customFormat="1" ht="30" customHeight="1" x14ac:dyDescent="0.2">
      <c r="A354" s="5"/>
      <c r="B354" s="142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 s="75" customFormat="1" ht="30" customHeight="1" x14ac:dyDescent="0.2">
      <c r="A355" s="5"/>
      <c r="B355" s="142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 s="75" customFormat="1" ht="30" customHeight="1" x14ac:dyDescent="0.2">
      <c r="A356" s="5"/>
      <c r="B356" s="142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 s="75" customFormat="1" ht="30" customHeight="1" x14ac:dyDescent="0.2">
      <c r="A357" s="5"/>
      <c r="B357" s="142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 s="75" customFormat="1" ht="30" customHeight="1" x14ac:dyDescent="0.2">
      <c r="A358" s="5"/>
      <c r="B358" s="142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 s="75" customFormat="1" ht="30" customHeight="1" x14ac:dyDescent="0.2">
      <c r="A359" s="5"/>
      <c r="B359" s="142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s="75" customFormat="1" ht="30" customHeight="1" x14ac:dyDescent="0.2">
      <c r="A360" s="5"/>
      <c r="B360" s="142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 s="75" customFormat="1" ht="30" customHeight="1" x14ac:dyDescent="0.2">
      <c r="A361" s="5"/>
      <c r="B361" s="142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s="75" customFormat="1" ht="30" customHeight="1" x14ac:dyDescent="0.2">
      <c r="A362" s="5"/>
      <c r="B362" s="142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 s="75" customFormat="1" ht="30" customHeight="1" x14ac:dyDescent="0.2">
      <c r="A363" s="5"/>
      <c r="B363" s="142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 s="75" customFormat="1" ht="30" customHeight="1" x14ac:dyDescent="0.2">
      <c r="A364" s="5"/>
      <c r="B364" s="142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 s="75" customFormat="1" ht="30" customHeight="1" x14ac:dyDescent="0.2">
      <c r="A365" s="5"/>
      <c r="B365" s="142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:23" s="75" customFormat="1" ht="30" customHeight="1" x14ac:dyDescent="0.2">
      <c r="A366" s="5"/>
      <c r="B366" s="142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 s="75" customFormat="1" ht="30" customHeight="1" x14ac:dyDescent="0.2">
      <c r="A367" s="5"/>
      <c r="B367" s="142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 s="75" customFormat="1" ht="30" customHeight="1" x14ac:dyDescent="0.2">
      <c r="A368" s="5"/>
      <c r="B368" s="142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 s="75" customFormat="1" ht="30" customHeight="1" x14ac:dyDescent="0.2">
      <c r="A369" s="5"/>
      <c r="B369" s="142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 s="75" customFormat="1" ht="30" customHeight="1" x14ac:dyDescent="0.2">
      <c r="A370" s="5"/>
      <c r="B370" s="142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 s="75" customFormat="1" ht="30" customHeight="1" x14ac:dyDescent="0.2">
      <c r="A371" s="5"/>
      <c r="B371" s="142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 s="75" customFormat="1" ht="30" customHeight="1" x14ac:dyDescent="0.2">
      <c r="A372" s="5"/>
      <c r="B372" s="142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 s="75" customFormat="1" ht="30" customHeight="1" x14ac:dyDescent="0.2">
      <c r="A373" s="5"/>
      <c r="B373" s="142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 s="75" customFormat="1" ht="30" customHeight="1" x14ac:dyDescent="0.2">
      <c r="A374" s="5"/>
      <c r="B374" s="142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 s="75" customFormat="1" ht="30" customHeight="1" x14ac:dyDescent="0.2">
      <c r="A375" s="5"/>
      <c r="B375" s="142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 s="75" customFormat="1" ht="30" customHeight="1" x14ac:dyDescent="0.2">
      <c r="A376" s="5"/>
      <c r="B376" s="142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s="75" customFormat="1" ht="30" customHeight="1" x14ac:dyDescent="0.2">
      <c r="A377" s="5"/>
      <c r="B377" s="142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 s="75" customFormat="1" ht="30" customHeight="1" x14ac:dyDescent="0.2">
      <c r="A378" s="5"/>
      <c r="B378" s="142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 s="75" customFormat="1" ht="30" customHeight="1" x14ac:dyDescent="0.2">
      <c r="A379" s="5"/>
      <c r="B379" s="142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 s="75" customFormat="1" ht="30" customHeight="1" x14ac:dyDescent="0.2">
      <c r="A380" s="5"/>
      <c r="B380" s="142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 s="75" customFormat="1" ht="30" customHeight="1" x14ac:dyDescent="0.2">
      <c r="A381" s="5"/>
      <c r="B381" s="142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 s="75" customFormat="1" ht="30" customHeight="1" x14ac:dyDescent="0.2">
      <c r="A382" s="5"/>
      <c r="B382" s="142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 s="75" customFormat="1" ht="30" customHeight="1" x14ac:dyDescent="0.2">
      <c r="A383" s="5"/>
      <c r="B383" s="142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 s="75" customFormat="1" ht="30" customHeight="1" x14ac:dyDescent="0.2">
      <c r="A384" s="5"/>
      <c r="B384" s="142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 s="75" customFormat="1" ht="30" customHeight="1" x14ac:dyDescent="0.2">
      <c r="A385" s="5"/>
      <c r="B385" s="142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 s="75" customFormat="1" ht="30" customHeight="1" x14ac:dyDescent="0.2">
      <c r="A386" s="5"/>
      <c r="B386" s="142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 s="75" customFormat="1" ht="30" customHeight="1" x14ac:dyDescent="0.2">
      <c r="A387" s="5"/>
      <c r="B387" s="142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 s="75" customFormat="1" ht="30" customHeight="1" x14ac:dyDescent="0.2">
      <c r="A388" s="5"/>
      <c r="B388" s="142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 s="75" customFormat="1" ht="30" customHeight="1" x14ac:dyDescent="0.2">
      <c r="A389" s="5"/>
      <c r="B389" s="142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 s="75" customFormat="1" ht="30" customHeight="1" x14ac:dyDescent="0.2">
      <c r="A390" s="5"/>
      <c r="B390" s="142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 s="75" customFormat="1" ht="30" customHeight="1" x14ac:dyDescent="0.2">
      <c r="A391" s="5"/>
      <c r="B391" s="142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:23" s="75" customFormat="1" ht="30" customHeight="1" x14ac:dyDescent="0.2">
      <c r="A392" s="5"/>
      <c r="B392" s="142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:23" s="75" customFormat="1" ht="30" customHeight="1" x14ac:dyDescent="0.2">
      <c r="A393" s="5"/>
      <c r="B393" s="142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 s="75" customFormat="1" ht="30" customHeight="1" x14ac:dyDescent="0.2">
      <c r="A394" s="5"/>
      <c r="B394" s="142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:23" s="75" customFormat="1" ht="30" customHeight="1" x14ac:dyDescent="0.2">
      <c r="A395" s="5"/>
      <c r="B395" s="142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:23" s="75" customFormat="1" ht="30" customHeight="1" x14ac:dyDescent="0.2">
      <c r="A396" s="5"/>
      <c r="B396" s="142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 s="75" customFormat="1" ht="30" customHeight="1" x14ac:dyDescent="0.2">
      <c r="A397" s="5"/>
      <c r="B397" s="142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 s="75" customFormat="1" ht="30" customHeight="1" x14ac:dyDescent="0.2">
      <c r="A398" s="5"/>
      <c r="B398" s="142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 s="75" customFormat="1" ht="30" customHeight="1" x14ac:dyDescent="0.2">
      <c r="A399" s="5"/>
      <c r="B399" s="142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 s="75" customFormat="1" ht="30" customHeight="1" x14ac:dyDescent="0.2">
      <c r="A400" s="5"/>
      <c r="B400" s="142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 s="75" customFormat="1" ht="30" customHeight="1" x14ac:dyDescent="0.2">
      <c r="A401" s="5"/>
      <c r="B401" s="142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 s="75" customFormat="1" ht="30" customHeight="1" x14ac:dyDescent="0.2">
      <c r="A402" s="5"/>
      <c r="B402" s="142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 s="75" customFormat="1" ht="30" customHeight="1" x14ac:dyDescent="0.2">
      <c r="A403" s="5"/>
      <c r="B403" s="142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 s="75" customFormat="1" ht="30" customHeight="1" x14ac:dyDescent="0.2">
      <c r="A404" s="5"/>
      <c r="B404" s="142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 s="75" customFormat="1" ht="30" customHeight="1" x14ac:dyDescent="0.2">
      <c r="A405" s="5"/>
      <c r="B405" s="142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 s="75" customFormat="1" ht="30" customHeight="1" x14ac:dyDescent="0.2">
      <c r="A406" s="5"/>
      <c r="B406" s="142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 s="75" customFormat="1" ht="30" customHeight="1" x14ac:dyDescent="0.2">
      <c r="A407" s="5"/>
      <c r="B407" s="142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 s="75" customFormat="1" ht="30" customHeight="1" x14ac:dyDescent="0.2">
      <c r="A408" s="5"/>
      <c r="B408" s="142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 s="75" customFormat="1" ht="30" customHeight="1" x14ac:dyDescent="0.2">
      <c r="A409" s="5"/>
      <c r="B409" s="142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 s="75" customFormat="1" ht="30" customHeight="1" x14ac:dyDescent="0.2">
      <c r="A410" s="5"/>
      <c r="B410" s="142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 s="75" customFormat="1" ht="30" customHeight="1" x14ac:dyDescent="0.2">
      <c r="A411" s="5"/>
      <c r="B411" s="142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 s="75" customFormat="1" ht="30" customHeight="1" x14ac:dyDescent="0.2">
      <c r="A412" s="5"/>
      <c r="B412" s="142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 s="75" customFormat="1" ht="30" customHeight="1" x14ac:dyDescent="0.2">
      <c r="A413" s="5"/>
      <c r="B413" s="142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 s="75" customFormat="1" ht="30" customHeight="1" x14ac:dyDescent="0.2">
      <c r="A414" s="5"/>
      <c r="B414" s="142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 s="75" customFormat="1" ht="30" customHeight="1" x14ac:dyDescent="0.2">
      <c r="A415" s="5"/>
      <c r="B415" s="142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 s="75" customFormat="1" ht="30" customHeight="1" x14ac:dyDescent="0.2">
      <c r="A416" s="5"/>
      <c r="B416" s="142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 s="75" customFormat="1" ht="30" customHeight="1" x14ac:dyDescent="0.2">
      <c r="A417" s="5"/>
      <c r="B417" s="142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 s="75" customFormat="1" ht="30" customHeight="1" x14ac:dyDescent="0.2">
      <c r="A418" s="5"/>
      <c r="B418" s="142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 s="75" customFormat="1" ht="30" customHeight="1" x14ac:dyDescent="0.2">
      <c r="A419" s="5"/>
      <c r="B419" s="142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 s="75" customFormat="1" ht="30" customHeight="1" x14ac:dyDescent="0.2">
      <c r="A420" s="5"/>
      <c r="B420" s="142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 s="75" customFormat="1" ht="30" customHeight="1" x14ac:dyDescent="0.2">
      <c r="A421" s="5"/>
      <c r="B421" s="142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 s="75" customFormat="1" ht="30" customHeight="1" x14ac:dyDescent="0.2">
      <c r="A422" s="5"/>
      <c r="B422" s="142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 s="75" customFormat="1" ht="30" customHeight="1" x14ac:dyDescent="0.2">
      <c r="A423" s="5"/>
      <c r="B423" s="142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 s="75" customFormat="1" ht="30" customHeight="1" x14ac:dyDescent="0.2">
      <c r="A424" s="5"/>
      <c r="B424" s="142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 s="75" customFormat="1" ht="30" customHeight="1" x14ac:dyDescent="0.2">
      <c r="A425" s="5"/>
      <c r="B425" s="142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 s="75" customFormat="1" ht="30" customHeight="1" x14ac:dyDescent="0.2">
      <c r="A426" s="5"/>
      <c r="B426" s="142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 s="75" customFormat="1" ht="30" customHeight="1" x14ac:dyDescent="0.2">
      <c r="A427" s="5"/>
      <c r="B427" s="142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 s="75" customFormat="1" ht="30" customHeight="1" x14ac:dyDescent="0.2">
      <c r="A428" s="5"/>
      <c r="B428" s="142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:23" s="75" customFormat="1" ht="30" customHeight="1" x14ac:dyDescent="0.2">
      <c r="A429" s="5"/>
      <c r="B429" s="142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 s="75" customFormat="1" ht="30" customHeight="1" x14ac:dyDescent="0.2">
      <c r="A430" s="5"/>
      <c r="B430" s="142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 s="75" customFormat="1" ht="30" customHeight="1" x14ac:dyDescent="0.2">
      <c r="A431" s="5"/>
      <c r="B431" s="142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 s="75" customFormat="1" ht="30" customHeight="1" x14ac:dyDescent="0.2">
      <c r="A432" s="5"/>
      <c r="B432" s="142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:23" s="75" customFormat="1" ht="30" customHeight="1" x14ac:dyDescent="0.2">
      <c r="A433" s="5"/>
      <c r="B433" s="142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:23" s="75" customFormat="1" ht="30" customHeight="1" x14ac:dyDescent="0.2">
      <c r="A434" s="5"/>
      <c r="B434" s="142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 s="75" customFormat="1" ht="30" customHeight="1" x14ac:dyDescent="0.2">
      <c r="A435" s="5"/>
      <c r="B435" s="142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 s="75" customFormat="1" ht="30" customHeight="1" x14ac:dyDescent="0.2">
      <c r="A436" s="5"/>
      <c r="B436" s="142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 s="75" customFormat="1" ht="30" customHeight="1" x14ac:dyDescent="0.2">
      <c r="A437" s="5"/>
      <c r="B437" s="142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 s="75" customFormat="1" ht="30" customHeight="1" x14ac:dyDescent="0.2">
      <c r="A438" s="5"/>
      <c r="B438" s="142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 s="75" customFormat="1" ht="30" customHeight="1" x14ac:dyDescent="0.2">
      <c r="A439" s="5"/>
      <c r="B439" s="142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:23" s="75" customFormat="1" ht="30" customHeight="1" x14ac:dyDescent="0.2">
      <c r="A440" s="5"/>
      <c r="B440" s="142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 s="75" customFormat="1" ht="30" customHeight="1" x14ac:dyDescent="0.2">
      <c r="A441" s="5"/>
      <c r="B441" s="142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 s="75" customFormat="1" ht="30" customHeight="1" x14ac:dyDescent="0.2">
      <c r="A442" s="5"/>
      <c r="B442" s="142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 s="75" customFormat="1" ht="30" customHeight="1" x14ac:dyDescent="0.2">
      <c r="A443" s="5"/>
      <c r="B443" s="142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 s="75" customFormat="1" ht="30" customHeight="1" x14ac:dyDescent="0.2">
      <c r="A444" s="5"/>
      <c r="B444" s="142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:23" s="75" customFormat="1" ht="30" customHeight="1" x14ac:dyDescent="0.2">
      <c r="A445" s="5"/>
      <c r="B445" s="142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 s="75" customFormat="1" ht="30" customHeight="1" x14ac:dyDescent="0.2">
      <c r="A446" s="5"/>
      <c r="B446" s="142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 s="75" customFormat="1" ht="30" customHeight="1" x14ac:dyDescent="0.2">
      <c r="A447" s="5"/>
      <c r="B447" s="142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 s="75" customFormat="1" ht="30" customHeight="1" x14ac:dyDescent="0.2">
      <c r="A448" s="5"/>
      <c r="B448" s="142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 s="75" customFormat="1" ht="30" customHeight="1" x14ac:dyDescent="0.2">
      <c r="A449" s="5"/>
      <c r="B449" s="142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 s="75" customFormat="1" ht="30" customHeight="1" x14ac:dyDescent="0.2">
      <c r="A450" s="5"/>
      <c r="B450" s="142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 s="75" customFormat="1" ht="30" customHeight="1" x14ac:dyDescent="0.2">
      <c r="A451" s="5"/>
      <c r="B451" s="142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 s="75" customFormat="1" ht="30" customHeight="1" x14ac:dyDescent="0.2">
      <c r="A452" s="5"/>
      <c r="B452" s="142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 s="75" customFormat="1" ht="30" customHeight="1" x14ac:dyDescent="0.2">
      <c r="A453" s="5"/>
      <c r="B453" s="142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 s="75" customFormat="1" ht="30" customHeight="1" x14ac:dyDescent="0.2">
      <c r="A454" s="5"/>
      <c r="B454" s="142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 s="75" customFormat="1" ht="30" customHeight="1" x14ac:dyDescent="0.2">
      <c r="A455" s="5"/>
      <c r="B455" s="142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 s="75" customFormat="1" ht="30" customHeight="1" x14ac:dyDescent="0.2">
      <c r="A456" s="5"/>
      <c r="B456" s="142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 s="75" customFormat="1" ht="30" customHeight="1" x14ac:dyDescent="0.2">
      <c r="A457" s="5"/>
      <c r="B457" s="142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 s="75" customFormat="1" ht="30" customHeight="1" x14ac:dyDescent="0.2">
      <c r="A458" s="5"/>
      <c r="B458" s="142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:23" s="75" customFormat="1" ht="30" customHeight="1" x14ac:dyDescent="0.2">
      <c r="A459" s="5"/>
      <c r="B459" s="142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 s="75" customFormat="1" ht="30" customHeight="1" x14ac:dyDescent="0.2">
      <c r="A460" s="5"/>
      <c r="B460" s="142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 s="75" customFormat="1" ht="30" customHeight="1" x14ac:dyDescent="0.2">
      <c r="A461" s="5"/>
      <c r="B461" s="142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 s="75" customFormat="1" ht="30" customHeight="1" x14ac:dyDescent="0.2">
      <c r="A462" s="5"/>
      <c r="B462" s="142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 s="75" customFormat="1" ht="30" customHeight="1" x14ac:dyDescent="0.2">
      <c r="A463" s="5"/>
      <c r="B463" s="142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 s="75" customFormat="1" ht="30" customHeight="1" x14ac:dyDescent="0.2">
      <c r="A464" s="5"/>
      <c r="B464" s="142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 s="75" customFormat="1" ht="30" customHeight="1" x14ac:dyDescent="0.2">
      <c r="A465" s="5"/>
      <c r="B465" s="142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 s="75" customFormat="1" ht="30" customHeight="1" x14ac:dyDescent="0.2">
      <c r="A466" s="5"/>
      <c r="B466" s="142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 s="75" customFormat="1" ht="30" customHeight="1" x14ac:dyDescent="0.2">
      <c r="A467" s="5"/>
      <c r="B467" s="142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 s="75" customFormat="1" ht="30" customHeight="1" x14ac:dyDescent="0.2">
      <c r="A468" s="5"/>
      <c r="B468" s="142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 s="75" customFormat="1" ht="30" customHeight="1" x14ac:dyDescent="0.2">
      <c r="A469" s="5"/>
      <c r="B469" s="142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 s="75" customFormat="1" ht="30" customHeight="1" x14ac:dyDescent="0.2">
      <c r="A470" s="5"/>
      <c r="B470" s="142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 s="75" customFormat="1" ht="30" customHeight="1" x14ac:dyDescent="0.2">
      <c r="A471" s="5"/>
      <c r="B471" s="142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:23" s="75" customFormat="1" ht="30" customHeight="1" x14ac:dyDescent="0.2">
      <c r="A472" s="5"/>
      <c r="B472" s="142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 s="75" customFormat="1" ht="30" customHeight="1" x14ac:dyDescent="0.2">
      <c r="A473" s="5"/>
      <c r="B473" s="142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 s="75" customFormat="1" ht="30" customHeight="1" x14ac:dyDescent="0.2">
      <c r="A474" s="5"/>
      <c r="B474" s="142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 s="75" customFormat="1" ht="30" customHeight="1" x14ac:dyDescent="0.2">
      <c r="A475" s="5"/>
      <c r="B475" s="142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 s="75" customFormat="1" ht="30" customHeight="1" x14ac:dyDescent="0.2">
      <c r="A476" s="5"/>
      <c r="B476" s="142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:23" s="75" customFormat="1" ht="30" customHeight="1" x14ac:dyDescent="0.2">
      <c r="A477" s="5"/>
      <c r="B477" s="142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 s="75" customFormat="1" ht="30" customHeight="1" x14ac:dyDescent="0.2">
      <c r="A478" s="5"/>
      <c r="B478" s="142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:23" s="75" customFormat="1" ht="30" customHeight="1" x14ac:dyDescent="0.2">
      <c r="A479" s="5"/>
      <c r="B479" s="142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:23" s="75" customFormat="1" ht="30" customHeight="1" x14ac:dyDescent="0.2">
      <c r="A480" s="5"/>
      <c r="B480" s="142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 s="75" customFormat="1" ht="30" customHeight="1" x14ac:dyDescent="0.2">
      <c r="A481" s="5"/>
      <c r="B481" s="142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 s="75" customFormat="1" ht="30" customHeight="1" x14ac:dyDescent="0.2">
      <c r="A482" s="5"/>
      <c r="B482" s="142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 s="75" customFormat="1" ht="30" customHeight="1" x14ac:dyDescent="0.2">
      <c r="A483" s="5"/>
      <c r="B483" s="142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 s="75" customFormat="1" ht="30" customHeight="1" x14ac:dyDescent="0.2">
      <c r="A484" s="5"/>
      <c r="B484" s="142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 s="75" customFormat="1" ht="30" customHeight="1" x14ac:dyDescent="0.2">
      <c r="A485" s="5"/>
      <c r="B485" s="142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 s="75" customFormat="1" ht="30" customHeight="1" x14ac:dyDescent="0.2">
      <c r="A486" s="5"/>
      <c r="B486" s="142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 s="75" customFormat="1" ht="30" customHeight="1" x14ac:dyDescent="0.2">
      <c r="A487" s="5"/>
      <c r="B487" s="142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 s="75" customFormat="1" ht="30" customHeight="1" x14ac:dyDescent="0.2">
      <c r="A488" s="5"/>
      <c r="B488" s="142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 s="75" customFormat="1" ht="30" customHeight="1" x14ac:dyDescent="0.2">
      <c r="A489" s="5"/>
      <c r="B489" s="142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 s="75" customFormat="1" ht="30" customHeight="1" x14ac:dyDescent="0.2">
      <c r="A490" s="5"/>
      <c r="B490" s="142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:23" s="75" customFormat="1" ht="30" customHeight="1" x14ac:dyDescent="0.2">
      <c r="A491" s="5"/>
      <c r="B491" s="142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 s="75" customFormat="1" ht="30" customHeight="1" x14ac:dyDescent="0.2">
      <c r="A492" s="5"/>
      <c r="B492" s="142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 s="75" customFormat="1" ht="30" customHeight="1" x14ac:dyDescent="0.2">
      <c r="A493" s="5"/>
      <c r="B493" s="142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 s="75" customFormat="1" ht="30" customHeight="1" x14ac:dyDescent="0.2">
      <c r="A494" s="5"/>
      <c r="B494" s="142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 s="75" customFormat="1" ht="30" customHeight="1" x14ac:dyDescent="0.2">
      <c r="A495" s="5"/>
      <c r="B495" s="142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 s="75" customFormat="1" ht="30" customHeight="1" x14ac:dyDescent="0.2">
      <c r="A496" s="5"/>
      <c r="B496" s="142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 s="75" customFormat="1" ht="30" customHeight="1" x14ac:dyDescent="0.2">
      <c r="A497" s="5"/>
      <c r="B497" s="142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 s="75" customFormat="1" ht="30" customHeight="1" x14ac:dyDescent="0.2">
      <c r="A498" s="5"/>
      <c r="B498" s="142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 s="75" customFormat="1" ht="30" customHeight="1" x14ac:dyDescent="0.2">
      <c r="A499" s="5"/>
      <c r="B499" s="142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 s="75" customFormat="1" ht="30" customHeight="1" x14ac:dyDescent="0.2">
      <c r="A500" s="5"/>
      <c r="B500" s="142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 s="75" customFormat="1" ht="30" customHeight="1" x14ac:dyDescent="0.2">
      <c r="A501" s="5"/>
      <c r="B501" s="142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 s="75" customFormat="1" ht="30" customHeight="1" x14ac:dyDescent="0.2">
      <c r="A502" s="5"/>
      <c r="B502" s="142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 s="75" customFormat="1" ht="30" customHeight="1" x14ac:dyDescent="0.2">
      <c r="A503" s="5"/>
      <c r="B503" s="142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 s="75" customFormat="1" ht="30" customHeight="1" x14ac:dyDescent="0.2">
      <c r="A504" s="5"/>
      <c r="B504" s="142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:23" s="75" customFormat="1" ht="30" customHeight="1" x14ac:dyDescent="0.2">
      <c r="A505" s="5"/>
      <c r="B505" s="142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:23" s="75" customFormat="1" ht="30" customHeight="1" x14ac:dyDescent="0.2">
      <c r="A506" s="5"/>
      <c r="B506" s="142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:23" s="75" customFormat="1" ht="30" customHeight="1" x14ac:dyDescent="0.2">
      <c r="A507" s="5"/>
      <c r="B507" s="142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:23" s="75" customFormat="1" ht="30" customHeight="1" x14ac:dyDescent="0.2">
      <c r="A508" s="5"/>
      <c r="B508" s="142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:23" s="75" customFormat="1" ht="30" customHeight="1" x14ac:dyDescent="0.2">
      <c r="A509" s="5"/>
      <c r="B509" s="142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:23" s="75" customFormat="1" ht="30" customHeight="1" x14ac:dyDescent="0.2">
      <c r="A510" s="5"/>
      <c r="B510" s="142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:23" s="75" customFormat="1" ht="30" customHeight="1" x14ac:dyDescent="0.2">
      <c r="A511" s="5"/>
      <c r="B511" s="142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:23" s="75" customFormat="1" ht="30" customHeight="1" x14ac:dyDescent="0.2">
      <c r="A512" s="5"/>
      <c r="B512" s="142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:23" s="75" customFormat="1" ht="30" customHeight="1" x14ac:dyDescent="0.2">
      <c r="A513" s="5"/>
      <c r="B513" s="142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:23" s="75" customFormat="1" ht="30" customHeight="1" x14ac:dyDescent="0.2">
      <c r="A514" s="5"/>
      <c r="B514" s="142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:23" s="75" customFormat="1" ht="30" customHeight="1" x14ac:dyDescent="0.2">
      <c r="A515" s="5"/>
      <c r="B515" s="142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:23" s="75" customFormat="1" ht="30" customHeight="1" x14ac:dyDescent="0.2">
      <c r="A516" s="5"/>
      <c r="B516" s="142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:23" s="75" customFormat="1" ht="30" customHeight="1" x14ac:dyDescent="0.2">
      <c r="A517" s="5"/>
      <c r="B517" s="142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:23" s="75" customFormat="1" ht="30" customHeight="1" x14ac:dyDescent="0.2">
      <c r="A518" s="5"/>
      <c r="B518" s="142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spans="1:23" s="75" customFormat="1" ht="30" customHeight="1" x14ac:dyDescent="0.2">
      <c r="A519" s="5"/>
      <c r="B519" s="142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spans="1:23" s="75" customFormat="1" ht="30" customHeight="1" x14ac:dyDescent="0.2">
      <c r="A520" s="5"/>
      <c r="B520" s="142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:23" s="75" customFormat="1" ht="30" customHeight="1" x14ac:dyDescent="0.2">
      <c r="A521" s="5"/>
      <c r="B521" s="142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spans="1:23" s="75" customFormat="1" ht="30" customHeight="1" x14ac:dyDescent="0.2">
      <c r="A522" s="5"/>
      <c r="B522" s="142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:23" s="75" customFormat="1" ht="30" customHeight="1" x14ac:dyDescent="0.2">
      <c r="A523" s="5"/>
      <c r="B523" s="142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:23" s="75" customFormat="1" ht="30" customHeight="1" x14ac:dyDescent="0.2">
      <c r="A524" s="5"/>
      <c r="B524" s="142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:23" s="75" customFormat="1" ht="30" customHeight="1" x14ac:dyDescent="0.2">
      <c r="A525" s="5"/>
      <c r="B525" s="142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:23" s="75" customFormat="1" ht="30" customHeight="1" x14ac:dyDescent="0.2">
      <c r="A526" s="5"/>
      <c r="B526" s="142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:23" s="75" customFormat="1" ht="30" customHeight="1" x14ac:dyDescent="0.2">
      <c r="A527" s="5"/>
      <c r="B527" s="142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:23" s="75" customFormat="1" ht="30" customHeight="1" x14ac:dyDescent="0.2">
      <c r="A528" s="5"/>
      <c r="B528" s="142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:23" s="75" customFormat="1" ht="30" customHeight="1" x14ac:dyDescent="0.2">
      <c r="A529" s="5"/>
      <c r="B529" s="142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:23" s="75" customFormat="1" ht="30" customHeight="1" x14ac:dyDescent="0.2">
      <c r="A530" s="5"/>
      <c r="B530" s="142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:23" s="75" customFormat="1" ht="30" customHeight="1" x14ac:dyDescent="0.2">
      <c r="A531" s="5"/>
      <c r="B531" s="142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:23" s="75" customFormat="1" ht="30" customHeight="1" x14ac:dyDescent="0.2">
      <c r="A532" s="5"/>
      <c r="B532" s="142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:23" s="75" customFormat="1" ht="30" customHeight="1" x14ac:dyDescent="0.2">
      <c r="A533" s="5"/>
      <c r="B533" s="142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:23" s="75" customFormat="1" ht="30" customHeight="1" x14ac:dyDescent="0.2">
      <c r="A534" s="5"/>
      <c r="B534" s="142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:23" s="75" customFormat="1" ht="30" customHeight="1" x14ac:dyDescent="0.2">
      <c r="A535" s="5"/>
      <c r="B535" s="142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:23" s="75" customFormat="1" ht="30" customHeight="1" x14ac:dyDescent="0.2">
      <c r="A536" s="5"/>
      <c r="B536" s="142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:23" s="75" customFormat="1" ht="30" customHeight="1" x14ac:dyDescent="0.2">
      <c r="A537" s="5"/>
      <c r="B537" s="142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:23" s="75" customFormat="1" ht="30" customHeight="1" x14ac:dyDescent="0.2">
      <c r="A538" s="5"/>
      <c r="B538" s="142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:23" s="75" customFormat="1" ht="30" customHeight="1" x14ac:dyDescent="0.2">
      <c r="A539" s="5"/>
      <c r="B539" s="142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:23" s="75" customFormat="1" ht="30" customHeight="1" x14ac:dyDescent="0.2">
      <c r="A540" s="5"/>
      <c r="B540" s="142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:23" s="75" customFormat="1" ht="30" customHeight="1" x14ac:dyDescent="0.2">
      <c r="A541" s="5"/>
      <c r="B541" s="142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:23" s="75" customFormat="1" ht="30" customHeight="1" x14ac:dyDescent="0.2">
      <c r="A542" s="5"/>
      <c r="B542" s="142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:23" s="75" customFormat="1" ht="30" customHeight="1" x14ac:dyDescent="0.2">
      <c r="A543" s="5"/>
      <c r="B543" s="142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:23" s="75" customFormat="1" ht="30" customHeight="1" x14ac:dyDescent="0.2">
      <c r="A544" s="5"/>
      <c r="B544" s="142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:23" s="75" customFormat="1" ht="30" customHeight="1" x14ac:dyDescent="0.2">
      <c r="A545" s="5"/>
      <c r="B545" s="142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:23" s="75" customFormat="1" ht="30" customHeight="1" x14ac:dyDescent="0.2">
      <c r="A546" s="5"/>
      <c r="B546" s="142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:23" s="75" customFormat="1" ht="30" customHeight="1" x14ac:dyDescent="0.2">
      <c r="A547" s="5"/>
      <c r="B547" s="142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:23" s="75" customFormat="1" ht="30" customHeight="1" x14ac:dyDescent="0.2">
      <c r="A548" s="5"/>
      <c r="B548" s="142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</sheetData>
  <mergeCells count="15">
    <mergeCell ref="X9:Z9"/>
    <mergeCell ref="AA9:AC9"/>
    <mergeCell ref="AD9:AF9"/>
    <mergeCell ref="W9:W10"/>
    <mergeCell ref="B9:B10"/>
    <mergeCell ref="C9:C10"/>
    <mergeCell ref="D9:D10"/>
    <mergeCell ref="F9:F10"/>
    <mergeCell ref="G9:I9"/>
    <mergeCell ref="J9:L9"/>
    <mergeCell ref="M9:O9"/>
    <mergeCell ref="P9:R9"/>
    <mergeCell ref="S9:U9"/>
    <mergeCell ref="V9:V10"/>
    <mergeCell ref="E9:E10"/>
  </mergeCells>
  <phoneticPr fontId="18" type="noConversion"/>
  <conditionalFormatting sqref="D14:D17">
    <cfRule type="containsText" dxfId="1080" priority="90" operator="containsText" text="A">
      <formula>NOT(ISERROR(SEARCH("A",D14)))</formula>
    </cfRule>
    <cfRule type="containsText" dxfId="1079" priority="89" operator="containsText" text="B">
      <formula>NOT(ISERROR(SEARCH("B",D14)))</formula>
    </cfRule>
    <cfRule type="containsText" dxfId="1078" priority="92" operator="containsText" text="C">
      <formula>NOT(ISERROR(SEARCH("C",D14)))</formula>
    </cfRule>
    <cfRule type="containsText" dxfId="1077" priority="91" operator="containsText" text="U/R">
      <formula>NOT(ISERROR(SEARCH("U/R",D14)))</formula>
    </cfRule>
  </conditionalFormatting>
  <conditionalFormatting sqref="D15">
    <cfRule type="containsText" dxfId="1076" priority="88" operator="containsText" text="U/R">
      <formula>NOT(ISERROR(SEARCH("U/R",D15)))</formula>
    </cfRule>
    <cfRule type="containsText" dxfId="1075" priority="87" operator="containsText" text="A">
      <formula>NOT(ISERROR(SEARCH("A",D15)))</formula>
    </cfRule>
    <cfRule type="containsText" dxfId="1074" priority="85" operator="containsText" text="U/R">
      <formula>NOT(ISERROR(SEARCH("U/R",D15)))</formula>
    </cfRule>
    <cfRule type="containsText" dxfId="1073" priority="86" operator="containsText" text="B">
      <formula>NOT(ISERROR(SEARCH("B",D15)))</formula>
    </cfRule>
  </conditionalFormatting>
  <conditionalFormatting sqref="D46 H148:H149 M37:Q37 V29:V41 G30:T34 N209:N287 Q209:Q287 T209:T287 K210:K287 G36:J41 P37:P41 N38:T38 S38:S41 L36:T36 G35:Q35 D30:E36">
    <cfRule type="containsText" dxfId="1072" priority="1766" operator="containsText" text="B">
      <formula>NOT(ISERROR(SEARCH("B",D29)))</formula>
    </cfRule>
  </conditionalFormatting>
  <conditionalFormatting sqref="D48:D53 K59 P83:P100 S83:S100 G30:T34 V29:V41 N190:N207 Q190:Q207 T190:T207 K191:K197 K200:K207 N209:N287 Q209:Q287 T209:T287 K210:K287 H228 V83:V100 M37:M41 H214 H218:H219 H232 H236:H237 H243 H252 H256:H257 H266 H270 H274:H275 H282 H284:H285 H287">
    <cfRule type="containsText" dxfId="1071" priority="1720" operator="containsText" text="C">
      <formula>NOT(ISERROR(SEARCH("C",D29)))</formula>
    </cfRule>
  </conditionalFormatting>
  <conditionalFormatting sqref="D63 J131:K131 M131:M133">
    <cfRule type="containsText" dxfId="1070" priority="723" operator="containsText" text="B">
      <formula>NOT(ISERROR(SEARCH("B",D63)))</formula>
    </cfRule>
    <cfRule type="containsText" dxfId="1069" priority="724" operator="containsText" text="A">
      <formula>NOT(ISERROR(SEARCH("A",D63)))</formula>
    </cfRule>
    <cfRule type="containsText" dxfId="1068" priority="722" operator="containsText" text="C">
      <formula>NOT(ISERROR(SEARCH("C",D63)))</formula>
    </cfRule>
  </conditionalFormatting>
  <conditionalFormatting sqref="D74:D76 D258:D265 D276:D281 D286 G286">
    <cfRule type="containsText" dxfId="1067" priority="1475" operator="containsText" text="U/R">
      <formula>NOT(ISERROR(SEARCH("U/R",D74)))</formula>
    </cfRule>
    <cfRule type="containsText" dxfId="1066" priority="1476" operator="containsText" text="C">
      <formula>NOT(ISERROR(SEARCH("C",D74)))</formula>
    </cfRule>
    <cfRule type="containsText" dxfId="1065" priority="1477" operator="containsText" text="B">
      <formula>NOT(ISERROR(SEARCH("B",D74)))</formula>
    </cfRule>
    <cfRule type="containsText" dxfId="1064" priority="1478" operator="containsText" text="A">
      <formula>NOT(ISERROR(SEARCH("A",D74)))</formula>
    </cfRule>
  </conditionalFormatting>
  <conditionalFormatting sqref="D102:D108">
    <cfRule type="containsText" dxfId="1063" priority="1652" operator="containsText" text="A">
      <formula>NOT(ISERROR(SEARCH("A",D102)))</formula>
    </cfRule>
    <cfRule type="containsText" dxfId="1062" priority="1651" operator="containsText" text="B">
      <formula>NOT(ISERROR(SEARCH("B",D102)))</formula>
    </cfRule>
    <cfRule type="containsText" dxfId="1061" priority="1650" operator="containsText" text="C">
      <formula>NOT(ISERROR(SEARCH("C",D102)))</formula>
    </cfRule>
    <cfRule type="containsText" dxfId="1060" priority="1649" operator="containsText" text="U/R">
      <formula>NOT(ISERROR(SEARCH("U/R",D102)))</formula>
    </cfRule>
  </conditionalFormatting>
  <conditionalFormatting sqref="D119:D125">
    <cfRule type="containsText" dxfId="1059" priority="1623" operator="containsText" text="B">
      <formula>NOT(ISERROR(SEARCH("B",D119)))</formula>
    </cfRule>
    <cfRule type="containsText" dxfId="1058" priority="1622" operator="containsText" text="C">
      <formula>NOT(ISERROR(SEARCH("C",D119)))</formula>
    </cfRule>
    <cfRule type="containsText" dxfId="1057" priority="1624" operator="containsText" text="A">
      <formula>NOT(ISERROR(SEARCH("A",D119)))</formula>
    </cfRule>
    <cfRule type="containsText" dxfId="1056" priority="1621" operator="containsText" text="U/R">
      <formula>NOT(ISERROR(SEARCH("U/R",D119)))</formula>
    </cfRule>
  </conditionalFormatting>
  <conditionalFormatting sqref="D127:D129 D144:D147">
    <cfRule type="containsText" dxfId="1055" priority="1566" operator="containsText" text="C">
      <formula>NOT(ISERROR(SEARCH("C",D127)))</formula>
    </cfRule>
    <cfRule type="containsText" dxfId="1054" priority="1567" operator="containsText" text="B">
      <formula>NOT(ISERROR(SEARCH("B",D127)))</formula>
    </cfRule>
    <cfRule type="containsText" dxfId="1053" priority="1568" operator="containsText" text="A">
      <formula>NOT(ISERROR(SEARCH("A",D127)))</formula>
    </cfRule>
    <cfRule type="containsText" dxfId="1052" priority="1565" operator="containsText" text="U/R">
      <formula>NOT(ISERROR(SEARCH("U/R",D127)))</formula>
    </cfRule>
  </conditionalFormatting>
  <conditionalFormatting sqref="D136:D142">
    <cfRule type="containsText" dxfId="1051" priority="1113" operator="containsText" text="A">
      <formula>NOT(ISERROR(SEARCH("A",D136)))</formula>
    </cfRule>
    <cfRule type="containsText" dxfId="1050" priority="1110" operator="containsText" text="U/R">
      <formula>NOT(ISERROR(SEARCH("U/R",D136)))</formula>
    </cfRule>
    <cfRule type="containsText" dxfId="1049" priority="1111" operator="containsText" text="C">
      <formula>NOT(ISERROR(SEARCH("C",D136)))</formula>
    </cfRule>
    <cfRule type="containsText" dxfId="1048" priority="1112" operator="containsText" text="B">
      <formula>NOT(ISERROR(SEARCH("B",D136)))</formula>
    </cfRule>
  </conditionalFormatting>
  <conditionalFormatting sqref="D150:D156">
    <cfRule type="containsText" dxfId="1047" priority="1596" operator="containsText" text="A">
      <formula>NOT(ISERROR(SEARCH("A",D150)))</formula>
    </cfRule>
    <cfRule type="containsText" dxfId="1046" priority="1593" operator="containsText" text="U/R">
      <formula>NOT(ISERROR(SEARCH("U/R",D150)))</formula>
    </cfRule>
    <cfRule type="containsText" dxfId="1045" priority="1595" operator="containsText" text="B">
      <formula>NOT(ISERROR(SEARCH("B",D150)))</formula>
    </cfRule>
    <cfRule type="containsText" dxfId="1044" priority="1594" operator="containsText" text="C">
      <formula>NOT(ISERROR(SEARCH("C",D150)))</formula>
    </cfRule>
  </conditionalFormatting>
  <conditionalFormatting sqref="D158:D160">
    <cfRule type="containsText" dxfId="1043" priority="1592" operator="containsText" text="A">
      <formula>NOT(ISERROR(SEARCH("A",D158)))</formula>
    </cfRule>
    <cfRule type="containsText" dxfId="1042" priority="1591" operator="containsText" text="B">
      <formula>NOT(ISERROR(SEARCH("B",D158)))</formula>
    </cfRule>
    <cfRule type="containsText" dxfId="1041" priority="1590" operator="containsText" text="C">
      <formula>NOT(ISERROR(SEARCH("C",D158)))</formula>
    </cfRule>
    <cfRule type="containsText" dxfId="1040" priority="1589" operator="containsText" text="U/R">
      <formula>NOT(ISERROR(SEARCH("U/R",D158)))</formula>
    </cfRule>
  </conditionalFormatting>
  <conditionalFormatting sqref="D162:D164">
    <cfRule type="containsText" dxfId="1039" priority="660" operator="containsText" text="B">
      <formula>NOT(ISERROR(SEARCH("B",D162)))</formula>
    </cfRule>
    <cfRule type="containsText" dxfId="1038" priority="661" operator="containsText" text="A">
      <formula>NOT(ISERROR(SEARCH("A",D162)))</formula>
    </cfRule>
    <cfRule type="containsText" dxfId="1037" priority="659" operator="containsText" text="C">
      <formula>NOT(ISERROR(SEARCH("C",D162)))</formula>
    </cfRule>
    <cfRule type="containsText" dxfId="1036" priority="658" operator="containsText" text="U/R">
      <formula>NOT(ISERROR(SEARCH("U/R",D162)))</formula>
    </cfRule>
  </conditionalFormatting>
  <conditionalFormatting sqref="D175:D177">
    <cfRule type="containsText" dxfId="1035" priority="1149" operator="containsText" text="A">
      <formula>NOT(ISERROR(SEARCH("A",D175)))</formula>
    </cfRule>
    <cfRule type="containsText" dxfId="1034" priority="1146" operator="containsText" text="U/R">
      <formula>NOT(ISERROR(SEARCH("U/R",D175)))</formula>
    </cfRule>
    <cfRule type="containsText" dxfId="1033" priority="1147" operator="containsText" text="C">
      <formula>NOT(ISERROR(SEARCH("C",D175)))</formula>
    </cfRule>
    <cfRule type="containsText" dxfId="1032" priority="1148" operator="containsText" text="B">
      <formula>NOT(ISERROR(SEARCH("B",D175)))</formula>
    </cfRule>
  </conditionalFormatting>
  <conditionalFormatting sqref="D180:D188">
    <cfRule type="containsText" dxfId="1031" priority="822" operator="containsText" text="U/R">
      <formula>NOT(ISERROR(SEARCH("U/R",D180)))</formula>
    </cfRule>
    <cfRule type="containsText" dxfId="1030" priority="823" operator="containsText" text="C">
      <formula>NOT(ISERROR(SEARCH("C",D180)))</formula>
    </cfRule>
    <cfRule type="containsText" dxfId="1029" priority="825" operator="containsText" text="A">
      <formula>NOT(ISERROR(SEARCH("A",D180)))</formula>
    </cfRule>
    <cfRule type="containsText" dxfId="1028" priority="824" operator="containsText" text="B">
      <formula>NOT(ISERROR(SEARCH("B",D180)))</formula>
    </cfRule>
  </conditionalFormatting>
  <conditionalFormatting sqref="D197:D201">
    <cfRule type="containsText" dxfId="1027" priority="794" operator="containsText" text="U/R">
      <formula>NOT(ISERROR(SEARCH("U/R",D197)))</formula>
    </cfRule>
    <cfRule type="containsText" dxfId="1026" priority="795" operator="containsText" text="C">
      <formula>NOT(ISERROR(SEARCH("C",D197)))</formula>
    </cfRule>
    <cfRule type="containsText" dxfId="1025" priority="796" operator="containsText" text="B">
      <formula>NOT(ISERROR(SEARCH("B",D197)))</formula>
    </cfRule>
    <cfRule type="containsText" dxfId="1024" priority="797" operator="containsText" text="A">
      <formula>NOT(ISERROR(SEARCH("A",D197)))</formula>
    </cfRule>
  </conditionalFormatting>
  <conditionalFormatting sqref="D201:D207">
    <cfRule type="containsText" dxfId="1023" priority="805" operator="containsText" text="A">
      <formula>NOT(ISERROR(SEARCH("A",D201)))</formula>
    </cfRule>
    <cfRule type="containsText" dxfId="1022" priority="804" operator="containsText" text="B">
      <formula>NOT(ISERROR(SEARCH("B",D201)))</formula>
    </cfRule>
    <cfRule type="containsText" dxfId="1021" priority="802" operator="containsText" text="U/R">
      <formula>NOT(ISERROR(SEARCH("U/R",D201)))</formula>
    </cfRule>
    <cfRule type="containsText" dxfId="1020" priority="803" operator="containsText" text="C">
      <formula>NOT(ISERROR(SEARCH("C",D201)))</formula>
    </cfRule>
  </conditionalFormatting>
  <conditionalFormatting sqref="D220:D227">
    <cfRule type="containsText" dxfId="1019" priority="498" operator="containsText" text="U/R">
      <formula>NOT(ISERROR(SEARCH("U/R",D220)))</formula>
    </cfRule>
    <cfRule type="containsText" dxfId="1018" priority="500" operator="containsText" text="B">
      <formula>NOT(ISERROR(SEARCH("B",D220)))</formula>
    </cfRule>
    <cfRule type="containsText" dxfId="1017" priority="499" operator="containsText" text="C">
      <formula>NOT(ISERROR(SEARCH("C",D220)))</formula>
    </cfRule>
    <cfRule type="containsText" dxfId="1016" priority="501" operator="containsText" text="A">
      <formula>NOT(ISERROR(SEARCH("A",D220)))</formula>
    </cfRule>
  </conditionalFormatting>
  <conditionalFormatting sqref="D229:D231">
    <cfRule type="containsText" dxfId="1015" priority="148" operator="containsText" text="A">
      <formula>NOT(ISERROR(SEARCH("A",D229)))</formula>
    </cfRule>
    <cfRule type="containsText" dxfId="1014" priority="147" operator="containsText" text="B">
      <formula>NOT(ISERROR(SEARCH("B",D229)))</formula>
    </cfRule>
    <cfRule type="containsText" dxfId="1013" priority="145" operator="containsText" text="U/R">
      <formula>NOT(ISERROR(SEARCH("U/R",D229)))</formula>
    </cfRule>
    <cfRule type="containsText" dxfId="1012" priority="146" operator="containsText" text="C">
      <formula>NOT(ISERROR(SEARCH("C",D229)))</formula>
    </cfRule>
  </conditionalFormatting>
  <conditionalFormatting sqref="D233:D235">
    <cfRule type="containsText" dxfId="1011" priority="483" operator="containsText" text="C">
      <formula>NOT(ISERROR(SEARCH("C",D233)))</formula>
    </cfRule>
    <cfRule type="containsText" dxfId="1010" priority="482" operator="containsText" text="U/R">
      <formula>NOT(ISERROR(SEARCH("U/R",D233)))</formula>
    </cfRule>
    <cfRule type="containsText" dxfId="1009" priority="484" operator="containsText" text="B">
      <formula>NOT(ISERROR(SEARCH("B",D233)))</formula>
    </cfRule>
    <cfRule type="containsText" dxfId="1008" priority="485" operator="containsText" text="A">
      <formula>NOT(ISERROR(SEARCH("A",D233)))</formula>
    </cfRule>
  </conditionalFormatting>
  <conditionalFormatting sqref="D238:D242">
    <cfRule type="containsText" dxfId="1007" priority="486" operator="containsText" text="U/R">
      <formula>NOT(ISERROR(SEARCH("U/R",D238)))</formula>
    </cfRule>
    <cfRule type="containsText" dxfId="1006" priority="487" operator="containsText" text="C">
      <formula>NOT(ISERROR(SEARCH("C",D238)))</formula>
    </cfRule>
    <cfRule type="containsText" dxfId="1005" priority="488" operator="containsText" text="B">
      <formula>NOT(ISERROR(SEARCH("B",D238)))</formula>
    </cfRule>
    <cfRule type="containsText" dxfId="1004" priority="489" operator="containsText" text="A">
      <formula>NOT(ISERROR(SEARCH("A",D238)))</formula>
    </cfRule>
  </conditionalFormatting>
  <conditionalFormatting sqref="D244:D251">
    <cfRule type="containsText" dxfId="1003" priority="316" operator="containsText" text="A">
      <formula>NOT(ISERROR(SEARCH("A",D244)))</formula>
    </cfRule>
    <cfRule type="containsText" dxfId="1002" priority="315" operator="containsText" text="B">
      <formula>NOT(ISERROR(SEARCH("B",D244)))</formula>
    </cfRule>
    <cfRule type="containsText" dxfId="1001" priority="314" operator="containsText" text="C">
      <formula>NOT(ISERROR(SEARCH("C",D244)))</formula>
    </cfRule>
    <cfRule type="containsText" dxfId="1000" priority="313" operator="containsText" text="U/R">
      <formula>NOT(ISERROR(SEARCH("U/R",D244)))</formula>
    </cfRule>
  </conditionalFormatting>
  <conditionalFormatting sqref="D253:D255">
    <cfRule type="containsText" dxfId="999" priority="474" operator="containsText" text="A">
      <formula>NOT(ISERROR(SEARCH("A",D253)))</formula>
    </cfRule>
    <cfRule type="containsText" dxfId="998" priority="471" operator="containsText" text="U/R">
      <formula>NOT(ISERROR(SEARCH("U/R",D253)))</formula>
    </cfRule>
    <cfRule type="containsText" dxfId="997" priority="472" operator="containsText" text="C">
      <formula>NOT(ISERROR(SEARCH("C",D253)))</formula>
    </cfRule>
    <cfRule type="containsText" dxfId="996" priority="473" operator="containsText" text="B">
      <formula>NOT(ISERROR(SEARCH("B",D253)))</formula>
    </cfRule>
  </conditionalFormatting>
  <conditionalFormatting sqref="D267:D269">
    <cfRule type="containsText" dxfId="995" priority="153" operator="containsText" text="U/R">
      <formula>NOT(ISERROR(SEARCH("U/R",D267)))</formula>
    </cfRule>
    <cfRule type="containsText" dxfId="994" priority="154" operator="containsText" text="C">
      <formula>NOT(ISERROR(SEARCH("C",D267)))</formula>
    </cfRule>
    <cfRule type="containsText" dxfId="993" priority="155" operator="containsText" text="B">
      <formula>NOT(ISERROR(SEARCH("B",D267)))</formula>
    </cfRule>
    <cfRule type="containsText" dxfId="992" priority="156" operator="containsText" text="A">
      <formula>NOT(ISERROR(SEARCH("A",D267)))</formula>
    </cfRule>
  </conditionalFormatting>
  <conditionalFormatting sqref="D271:D273">
    <cfRule type="containsText" dxfId="991" priority="390" operator="containsText" text="U/R">
      <formula>NOT(ISERROR(SEARCH("U/R",D271)))</formula>
    </cfRule>
    <cfRule type="containsText" dxfId="990" priority="391" operator="containsText" text="C">
      <formula>NOT(ISERROR(SEARCH("C",D271)))</formula>
    </cfRule>
    <cfRule type="containsText" dxfId="989" priority="392" operator="containsText" text="B">
      <formula>NOT(ISERROR(SEARCH("B",D271)))</formula>
    </cfRule>
    <cfRule type="containsText" dxfId="988" priority="393" operator="containsText" text="A">
      <formula>NOT(ISERROR(SEARCH("A",D271)))</formula>
    </cfRule>
  </conditionalFormatting>
  <conditionalFormatting sqref="D283">
    <cfRule type="containsText" dxfId="987" priority="283" operator="containsText" text="U/R">
      <formula>NOT(ISERROR(SEARCH("U/R",D283)))</formula>
    </cfRule>
    <cfRule type="containsText" dxfId="986" priority="284" operator="containsText" text="C">
      <formula>NOT(ISERROR(SEARCH("C",D283)))</formula>
    </cfRule>
    <cfRule type="containsText" dxfId="985" priority="285" operator="containsText" text="B">
      <formula>NOT(ISERROR(SEARCH("B",D283)))</formula>
    </cfRule>
    <cfRule type="containsText" dxfId="984" priority="286" operator="containsText" text="A">
      <formula>NOT(ISERROR(SEARCH("A",D283)))</formula>
    </cfRule>
  </conditionalFormatting>
  <conditionalFormatting sqref="D20:E28">
    <cfRule type="containsText" dxfId="983" priority="1377" operator="containsText" text="C">
      <formula>NOT(ISERROR(SEARCH("C",D20)))</formula>
    </cfRule>
    <cfRule type="containsText" dxfId="982" priority="1376" operator="containsText" text="U/R">
      <formula>NOT(ISERROR(SEARCH("U/R",D20)))</formula>
    </cfRule>
    <cfRule type="containsText" dxfId="981" priority="1378" operator="containsText" text="B">
      <formula>NOT(ISERROR(SEARCH("B",D20)))</formula>
    </cfRule>
    <cfRule type="containsText" dxfId="980" priority="1379" operator="containsText" text="A">
      <formula>NOT(ISERROR(SEARCH("A",D20)))</formula>
    </cfRule>
  </conditionalFormatting>
  <conditionalFormatting sqref="D30:E41">
    <cfRule type="containsText" dxfId="979" priority="910" operator="containsText" text="C">
      <formula>NOT(ISERROR(SEARCH("C",D30)))</formula>
    </cfRule>
    <cfRule type="containsText" dxfId="978" priority="909" operator="containsText" text="A">
      <formula>NOT(ISERROR(SEARCH("A",D30)))</formula>
    </cfRule>
  </conditionalFormatting>
  <conditionalFormatting sqref="D37:E41">
    <cfRule type="containsText" dxfId="977" priority="908" operator="containsText" text="B">
      <formula>NOT(ISERROR(SEARCH("B",D37)))</formula>
    </cfRule>
  </conditionalFormatting>
  <conditionalFormatting sqref="D46:E46 N38:T41 G36:J41 V46:V58 V63:V64 V66:V76 V81 V102:V113 V115:V117 V119:V129 V131:V134 V136:V147 K148:K156 N148:N156 Q148:Q156 T148:T156 K165:K173 N165:N173 Q165:Q173 T165:T173 K178:K180 N178:N188 Q178:Q188 T178:T188 K182:K188">
    <cfRule type="containsText" dxfId="976" priority="1325" operator="containsText" text="U/R">
      <formula>NOT(ISERROR(SEARCH("U/R",D36)))</formula>
    </cfRule>
  </conditionalFormatting>
  <conditionalFormatting sqref="D55:E58">
    <cfRule type="containsText" dxfId="975" priority="1007" operator="containsText" text="C">
      <formula>NOT(ISERROR(SEARCH("C",D55)))</formula>
    </cfRule>
    <cfRule type="containsText" dxfId="974" priority="1008" operator="containsText" text="B">
      <formula>NOT(ISERROR(SEARCH("B",D55)))</formula>
    </cfRule>
    <cfRule type="containsText" dxfId="973" priority="1009" operator="containsText" text="A">
      <formula>NOT(ISERROR(SEARCH("A",D55)))</formula>
    </cfRule>
    <cfRule type="containsText" dxfId="972" priority="1006" operator="containsText" text="U/R">
      <formula>NOT(ISERROR(SEARCH("U/R",D55)))</formula>
    </cfRule>
  </conditionalFormatting>
  <conditionalFormatting sqref="D60:E62">
    <cfRule type="containsText" dxfId="971" priority="963" operator="containsText" text="U/R">
      <formula>NOT(ISERROR(SEARCH("U/R",D60)))</formula>
    </cfRule>
    <cfRule type="containsText" dxfId="970" priority="964" operator="containsText" text="C">
      <formula>NOT(ISERROR(SEARCH("C",D60)))</formula>
    </cfRule>
    <cfRule type="containsText" dxfId="969" priority="966" operator="containsText" text="A">
      <formula>NOT(ISERROR(SEARCH("A",D60)))</formula>
    </cfRule>
    <cfRule type="containsText" dxfId="968" priority="965" operator="containsText" text="B">
      <formula>NOT(ISERROR(SEARCH("B",D60)))</formula>
    </cfRule>
  </conditionalFormatting>
  <conditionalFormatting sqref="D66:E72">
    <cfRule type="containsText" dxfId="967" priority="1298" operator="containsText" text="C">
      <formula>NOT(ISERROR(SEARCH("C",D66)))</formula>
    </cfRule>
    <cfRule type="containsText" dxfId="966" priority="1300" operator="containsText" text="A">
      <formula>NOT(ISERROR(SEARCH("A",D66)))</formula>
    </cfRule>
    <cfRule type="containsText" dxfId="965" priority="1297" operator="containsText" text="U/R">
      <formula>NOT(ISERROR(SEARCH("U/R",D66)))</formula>
    </cfRule>
    <cfRule type="containsText" dxfId="964" priority="1299" operator="containsText" text="B">
      <formula>NOT(ISERROR(SEARCH("B",D66)))</formula>
    </cfRule>
  </conditionalFormatting>
  <conditionalFormatting sqref="D78:E80">
    <cfRule type="containsText" dxfId="963" priority="879" operator="containsText" text="A">
      <formula>NOT(ISERROR(SEARCH("A",D78)))</formula>
    </cfRule>
    <cfRule type="containsText" dxfId="962" priority="878" operator="containsText" text="B">
      <formula>NOT(ISERROR(SEARCH("B",D78)))</formula>
    </cfRule>
    <cfRule type="containsText" dxfId="961" priority="876" operator="containsText" text="U/R">
      <formula>NOT(ISERROR(SEARCH("U/R",D78)))</formula>
    </cfRule>
    <cfRule type="containsText" dxfId="960" priority="877" operator="containsText" text="C">
      <formula>NOT(ISERROR(SEARCH("C",D78)))</formula>
    </cfRule>
  </conditionalFormatting>
  <conditionalFormatting sqref="D83:E90">
    <cfRule type="containsText" dxfId="959" priority="1266" operator="containsText" text="U/R">
      <formula>NOT(ISERROR(SEARCH("U/R",D83)))</formula>
    </cfRule>
    <cfRule type="containsText" dxfId="958" priority="1269" operator="containsText" text="A">
      <formula>NOT(ISERROR(SEARCH("A",D83)))</formula>
    </cfRule>
    <cfRule type="containsText" dxfId="957" priority="1268" operator="containsText" text="B">
      <formula>NOT(ISERROR(SEARCH("B",D83)))</formula>
    </cfRule>
    <cfRule type="containsText" dxfId="956" priority="1267" operator="containsText" text="C">
      <formula>NOT(ISERROR(SEARCH("C",D83)))</formula>
    </cfRule>
  </conditionalFormatting>
  <conditionalFormatting sqref="D92:E97 D99:E99">
    <cfRule type="containsText" dxfId="955" priority="1257" operator="containsText" text="A">
      <formula>NOT(ISERROR(SEARCH("A",D92)))</formula>
    </cfRule>
    <cfRule type="containsText" dxfId="954" priority="1256" operator="containsText" text="B">
      <formula>NOT(ISERROR(SEARCH("B",D92)))</formula>
    </cfRule>
    <cfRule type="containsText" dxfId="953" priority="1255" operator="containsText" text="C">
      <formula>NOT(ISERROR(SEARCH("C",D92)))</formula>
    </cfRule>
    <cfRule type="containsText" dxfId="952" priority="1254" operator="containsText" text="U/R">
      <formula>NOT(ISERROR(SEARCH("U/R",D92)))</formula>
    </cfRule>
  </conditionalFormatting>
  <conditionalFormatting sqref="D167:E173">
    <cfRule type="containsText" dxfId="951" priority="1092" operator="containsText" text="B">
      <formula>NOT(ISERROR(SEARCH("B",D167)))</formula>
    </cfRule>
    <cfRule type="containsText" dxfId="950" priority="1090" operator="containsText" text="U/R">
      <formula>NOT(ISERROR(SEARCH("U/R",D167)))</formula>
    </cfRule>
    <cfRule type="containsText" dxfId="949" priority="1093" operator="containsText" text="A">
      <formula>NOT(ISERROR(SEARCH("A",D167)))</formula>
    </cfRule>
    <cfRule type="containsText" dxfId="948" priority="1091" operator="containsText" text="C">
      <formula>NOT(ISERROR(SEARCH("C",D167)))</formula>
    </cfRule>
  </conditionalFormatting>
  <conditionalFormatting sqref="D190:E190">
    <cfRule type="containsText" dxfId="947" priority="1134" operator="containsText" text="U/R">
      <formula>NOT(ISERROR(SEARCH("U/R",D190)))</formula>
    </cfRule>
    <cfRule type="containsText" dxfId="946" priority="1136" operator="containsText" text="B">
      <formula>NOT(ISERROR(SEARCH("B",D190)))</formula>
    </cfRule>
    <cfRule type="containsText" dxfId="945" priority="1135" operator="containsText" text="C">
      <formula>NOT(ISERROR(SEARCH("C",D190)))</formula>
    </cfRule>
    <cfRule type="containsText" dxfId="944" priority="1137" operator="containsText" text="A">
      <formula>NOT(ISERROR(SEARCH("A",D190)))</formula>
    </cfRule>
  </conditionalFormatting>
  <conditionalFormatting sqref="D192:E194">
    <cfRule type="containsText" dxfId="943" priority="642" operator="containsText" text="U/R">
      <formula>NOT(ISERROR(SEARCH("U/R",D192)))</formula>
    </cfRule>
    <cfRule type="containsText" dxfId="942" priority="643" operator="containsText" text="C">
      <formula>NOT(ISERROR(SEARCH("C",D192)))</formula>
    </cfRule>
    <cfRule type="containsText" dxfId="941" priority="644" operator="containsText" text="B">
      <formula>NOT(ISERROR(SEARCH("B",D192)))</formula>
    </cfRule>
    <cfRule type="containsText" dxfId="940" priority="645" operator="containsText" text="A">
      <formula>NOT(ISERROR(SEARCH("A",D192)))</formula>
    </cfRule>
  </conditionalFormatting>
  <conditionalFormatting sqref="D209:E213">
    <cfRule type="containsText" dxfId="939" priority="512" operator="containsText" text="B">
      <formula>NOT(ISERROR(SEARCH("B",D209)))</formula>
    </cfRule>
    <cfRule type="containsText" dxfId="938" priority="510" operator="containsText" text="U/R">
      <formula>NOT(ISERROR(SEARCH("U/R",D209)))</formula>
    </cfRule>
    <cfRule type="containsText" dxfId="937" priority="511" operator="containsText" text="C">
      <formula>NOT(ISERROR(SEARCH("C",D209)))</formula>
    </cfRule>
    <cfRule type="containsText" dxfId="936" priority="513" operator="containsText" text="A">
      <formula>NOT(ISERROR(SEARCH("A",D209)))</formula>
    </cfRule>
  </conditionalFormatting>
  <conditionalFormatting sqref="D215:E217">
    <cfRule type="containsText" dxfId="935" priority="626" operator="containsText" text="U/R">
      <formula>NOT(ISERROR(SEARCH("U/R",D215)))</formula>
    </cfRule>
    <cfRule type="containsText" dxfId="934" priority="628" operator="containsText" text="B">
      <formula>NOT(ISERROR(SEARCH("B",D215)))</formula>
    </cfRule>
    <cfRule type="containsText" dxfId="933" priority="627" operator="containsText" text="C">
      <formula>NOT(ISERROR(SEARCH("C",D215)))</formula>
    </cfRule>
    <cfRule type="containsText" dxfId="932" priority="629" operator="containsText" text="A">
      <formula>NOT(ISERROR(SEARCH("A",D215)))</formula>
    </cfRule>
  </conditionalFormatting>
  <conditionalFormatting sqref="E14:E17">
    <cfRule type="containsText" dxfId="931" priority="82" operator="containsText" text="A">
      <formula>NOT(ISERROR(SEARCH("A",E14)))</formula>
    </cfRule>
    <cfRule type="containsText" dxfId="930" priority="83" operator="containsText" text="U/R">
      <formula>NOT(ISERROR(SEARCH("U/R",E14)))</formula>
    </cfRule>
    <cfRule type="containsText" dxfId="929" priority="84" operator="containsText" text="C">
      <formula>NOT(ISERROR(SEARCH("C",E14)))</formula>
    </cfRule>
    <cfRule type="containsText" dxfId="928" priority="81" operator="containsText" text="B">
      <formula>NOT(ISERROR(SEARCH("B",E14)))</formula>
    </cfRule>
  </conditionalFormatting>
  <conditionalFormatting sqref="E43">
    <cfRule type="containsText" dxfId="927" priority="1249" operator="containsText" text="A">
      <formula>NOT(ISERROR(SEARCH("A",E43)))</formula>
    </cfRule>
    <cfRule type="containsText" dxfId="926" priority="1246" operator="containsText" text="U/R">
      <formula>NOT(ISERROR(SEARCH("U/R",E43)))</formula>
    </cfRule>
    <cfRule type="containsText" dxfId="925" priority="1247" operator="containsText" text="C">
      <formula>NOT(ISERROR(SEARCH("C",E43)))</formula>
    </cfRule>
    <cfRule type="containsText" dxfId="924" priority="1248" operator="containsText" text="B">
      <formula>NOT(ISERROR(SEARCH("B",E43)))</formula>
    </cfRule>
  </conditionalFormatting>
  <conditionalFormatting sqref="E46">
    <cfRule type="containsText" dxfId="923" priority="1322" operator="containsText" text="C">
      <formula>NOT(ISERROR(SEARCH("C",E46)))</formula>
    </cfRule>
    <cfRule type="containsText" dxfId="922" priority="1324" operator="containsText" text="A">
      <formula>NOT(ISERROR(SEARCH("A",E46)))</formula>
    </cfRule>
    <cfRule type="containsText" dxfId="921" priority="1323" operator="containsText" text="B">
      <formula>NOT(ISERROR(SEARCH("B",E46)))</formula>
    </cfRule>
  </conditionalFormatting>
  <conditionalFormatting sqref="E46:E47">
    <cfRule type="containsText" dxfId="920" priority="1328" operator="containsText" text="A">
      <formula>NOT(ISERROR(SEARCH("A",E46)))</formula>
    </cfRule>
    <cfRule type="containsText" dxfId="919" priority="1327" operator="containsText" text="B">
      <formula>NOT(ISERROR(SEARCH("B",E46)))</formula>
    </cfRule>
    <cfRule type="containsText" dxfId="918" priority="1326" operator="containsText" text="C">
      <formula>NOT(ISERROR(SEARCH("C",E46)))</formula>
    </cfRule>
  </conditionalFormatting>
  <conditionalFormatting sqref="E46:E53">
    <cfRule type="containsText" dxfId="917" priority="1309" operator="containsText" text="U/R">
      <formula>NOT(ISERROR(SEARCH("U/R",E46)))</formula>
    </cfRule>
  </conditionalFormatting>
  <conditionalFormatting sqref="E48:E53">
    <cfRule type="containsText" dxfId="916" priority="1312" operator="containsText" text="A">
      <formula>NOT(ISERROR(SEARCH("A",E48)))</formula>
    </cfRule>
    <cfRule type="containsText" dxfId="915" priority="1310" operator="containsText" text="C">
      <formula>NOT(ISERROR(SEARCH("C",E48)))</formula>
    </cfRule>
    <cfRule type="containsText" dxfId="914" priority="1311" operator="containsText" text="B">
      <formula>NOT(ISERROR(SEARCH("B",E48)))</formula>
    </cfRule>
  </conditionalFormatting>
  <conditionalFormatting sqref="E49:E53">
    <cfRule type="containsText" dxfId="913" priority="1320" operator="containsText" text="A">
      <formula>NOT(ISERROR(SEARCH("A",E49)))</formula>
    </cfRule>
    <cfRule type="containsText" dxfId="912" priority="1319" operator="containsText" text="B">
      <formula>NOT(ISERROR(SEARCH("B",E49)))</formula>
    </cfRule>
    <cfRule type="containsText" dxfId="911" priority="1318" operator="containsText" text="C">
      <formula>NOT(ISERROR(SEARCH("C",E49)))</formula>
    </cfRule>
    <cfRule type="containsText" dxfId="910" priority="1317" operator="containsText" text="U/R">
      <formula>NOT(ISERROR(SEARCH("U/R",E49)))</formula>
    </cfRule>
  </conditionalFormatting>
  <conditionalFormatting sqref="G60:G62">
    <cfRule type="containsText" dxfId="909" priority="895" operator="containsText" text="B">
      <formula>NOT(ISERROR(SEARCH("B",G60)))</formula>
    </cfRule>
    <cfRule type="containsText" dxfId="908" priority="893" operator="containsText" text="U/R">
      <formula>NOT(ISERROR(SEARCH("U/R",G60)))</formula>
    </cfRule>
    <cfRule type="containsText" dxfId="907" priority="894" operator="containsText" text="C">
      <formula>NOT(ISERROR(SEARCH("C",G60)))</formula>
    </cfRule>
    <cfRule type="containsText" dxfId="906" priority="896" operator="containsText" text="A">
      <formula>NOT(ISERROR(SEARCH("A",G60)))</formula>
    </cfRule>
  </conditionalFormatting>
  <conditionalFormatting sqref="G78:G80 I78:I80">
    <cfRule type="containsText" dxfId="905" priority="874" operator="containsText" text="B">
      <formula>NOT(ISERROR(SEARCH("B",G78)))</formula>
    </cfRule>
    <cfRule type="containsText" dxfId="904" priority="873" operator="containsText" text="C">
      <formula>NOT(ISERROR(SEARCH("C",G78)))</formula>
    </cfRule>
    <cfRule type="containsText" dxfId="903" priority="872" operator="containsText" text="U/R">
      <formula>NOT(ISERROR(SEARCH("U/R",G78)))</formula>
    </cfRule>
    <cfRule type="containsText" dxfId="902" priority="875" operator="containsText" text="A">
      <formula>NOT(ISERROR(SEARCH("A",G78)))</formula>
    </cfRule>
  </conditionalFormatting>
  <conditionalFormatting sqref="G190">
    <cfRule type="containsText" dxfId="901" priority="1238" operator="containsText" text="U/R">
      <formula>NOT(ISERROR(SEARCH("U/R",G190)))</formula>
    </cfRule>
    <cfRule type="containsText" dxfId="900" priority="1239" operator="containsText" text="C">
      <formula>NOT(ISERROR(SEARCH("C",G190)))</formula>
    </cfRule>
    <cfRule type="containsText" dxfId="899" priority="1240" operator="containsText" text="B">
      <formula>NOT(ISERROR(SEARCH("B",G190)))</formula>
    </cfRule>
    <cfRule type="containsText" dxfId="898" priority="1241" operator="containsText" text="A">
      <formula>NOT(ISERROR(SEARCH("A",G190)))</formula>
    </cfRule>
  </conditionalFormatting>
  <conditionalFormatting sqref="G192:G194">
    <cfRule type="containsText" dxfId="897" priority="646" operator="containsText" text="U/R">
      <formula>NOT(ISERROR(SEARCH("U/R",G192)))</formula>
    </cfRule>
    <cfRule type="containsText" dxfId="896" priority="649" operator="containsText" text="A">
      <formula>NOT(ISERROR(SEARCH("A",G192)))</formula>
    </cfRule>
    <cfRule type="containsText" dxfId="895" priority="648" operator="containsText" text="B">
      <formula>NOT(ISERROR(SEARCH("B",G192)))</formula>
    </cfRule>
    <cfRule type="containsText" dxfId="894" priority="647" operator="containsText" text="C">
      <formula>NOT(ISERROR(SEARCH("C",G192)))</formula>
    </cfRule>
  </conditionalFormatting>
  <conditionalFormatting sqref="G209:G212 H220:H230">
    <cfRule type="containsText" dxfId="893" priority="1237" operator="containsText" text="A">
      <formula>NOT(ISERROR(SEARCH("A",G209)))</formula>
    </cfRule>
    <cfRule type="containsText" dxfId="892" priority="1236" operator="containsText" text="B">
      <formula>NOT(ISERROR(SEARCH("B",G209)))</formula>
    </cfRule>
  </conditionalFormatting>
  <conditionalFormatting sqref="G215:G217">
    <cfRule type="containsText" dxfId="891" priority="635" operator="containsText" text="C">
      <formula>NOT(ISERROR(SEARCH("C",G215)))</formula>
    </cfRule>
    <cfRule type="containsText" dxfId="890" priority="636" operator="containsText" text="B">
      <formula>NOT(ISERROR(SEARCH("B",G215)))</formula>
    </cfRule>
    <cfRule type="containsText" dxfId="889" priority="637" operator="containsText" text="A">
      <formula>NOT(ISERROR(SEARCH("A",G215)))</formula>
    </cfRule>
    <cfRule type="containsText" dxfId="888" priority="634" operator="containsText" text="U/R">
      <formula>NOT(ISERROR(SEARCH("U/R",G215)))</formula>
    </cfRule>
  </conditionalFormatting>
  <conditionalFormatting sqref="G220:G227">
    <cfRule type="containsText" dxfId="887" priority="506" operator="containsText" text="U/R">
      <formula>NOT(ISERROR(SEARCH("U/R",G220)))</formula>
    </cfRule>
    <cfRule type="containsText" dxfId="886" priority="507" operator="containsText" text="C">
      <formula>NOT(ISERROR(SEARCH("C",G220)))</formula>
    </cfRule>
    <cfRule type="containsText" dxfId="885" priority="508" operator="containsText" text="B">
      <formula>NOT(ISERROR(SEARCH("B",G220)))</formula>
    </cfRule>
    <cfRule type="containsText" dxfId="884" priority="509" operator="containsText" text="A">
      <formula>NOT(ISERROR(SEARCH("A",G220)))</formula>
    </cfRule>
  </conditionalFormatting>
  <conditionalFormatting sqref="G229:G230">
    <cfRule type="containsText" dxfId="883" priority="419" operator="containsText" text="U/R">
      <formula>NOT(ISERROR(SEARCH("U/R",G229)))</formula>
    </cfRule>
    <cfRule type="containsText" dxfId="882" priority="422" operator="containsText" text="A">
      <formula>NOT(ISERROR(SEARCH("A",G229)))</formula>
    </cfRule>
    <cfRule type="containsText" dxfId="881" priority="421" operator="containsText" text="B">
      <formula>NOT(ISERROR(SEARCH("B",G229)))</formula>
    </cfRule>
    <cfRule type="containsText" dxfId="880" priority="420" operator="containsText" text="C">
      <formula>NOT(ISERROR(SEARCH("C",G229)))</formula>
    </cfRule>
  </conditionalFormatting>
  <conditionalFormatting sqref="G233:G235">
    <cfRule type="containsText" dxfId="879" priority="465" operator="containsText" text="B">
      <formula>NOT(ISERROR(SEARCH("B",G233)))</formula>
    </cfRule>
    <cfRule type="containsText" dxfId="878" priority="466" operator="containsText" text="A">
      <formula>NOT(ISERROR(SEARCH("A",G233)))</formula>
    </cfRule>
    <cfRule type="containsText" dxfId="877" priority="463" operator="containsText" text="U/R">
      <formula>NOT(ISERROR(SEARCH("U/R",G233)))</formula>
    </cfRule>
    <cfRule type="containsText" dxfId="876" priority="464" operator="containsText" text="C">
      <formula>NOT(ISERROR(SEARCH("C",G233)))</formula>
    </cfRule>
  </conditionalFormatting>
  <conditionalFormatting sqref="G238:G242">
    <cfRule type="containsText" dxfId="875" priority="494" operator="containsText" text="U/R">
      <formula>NOT(ISERROR(SEARCH("U/R",G238)))</formula>
    </cfRule>
    <cfRule type="containsText" dxfId="874" priority="495" operator="containsText" text="C">
      <formula>NOT(ISERROR(SEARCH("C",G238)))</formula>
    </cfRule>
    <cfRule type="containsText" dxfId="873" priority="496" operator="containsText" text="B">
      <formula>NOT(ISERROR(SEARCH("B",G238)))</formula>
    </cfRule>
    <cfRule type="containsText" dxfId="872" priority="497" operator="containsText" text="A">
      <formula>NOT(ISERROR(SEARCH("A",G238)))</formula>
    </cfRule>
  </conditionalFormatting>
  <conditionalFormatting sqref="G253:G255">
    <cfRule type="containsText" dxfId="871" priority="241" operator="containsText" text="U/R">
      <formula>NOT(ISERROR(SEARCH("U/R",G253)))</formula>
    </cfRule>
    <cfRule type="containsText" dxfId="870" priority="243" operator="containsText" text="B">
      <formula>NOT(ISERROR(SEARCH("B",G253)))</formula>
    </cfRule>
    <cfRule type="containsText" dxfId="869" priority="244" operator="containsText" text="A">
      <formula>NOT(ISERROR(SEARCH("A",G253)))</formula>
    </cfRule>
    <cfRule type="containsText" dxfId="868" priority="242" operator="containsText" text="C">
      <formula>NOT(ISERROR(SEARCH("C",G253)))</formula>
    </cfRule>
  </conditionalFormatting>
  <conditionalFormatting sqref="G258:G265">
    <cfRule type="containsText" dxfId="867" priority="354" operator="containsText" text="A">
      <formula>NOT(ISERROR(SEARCH("A",G258)))</formula>
    </cfRule>
    <cfRule type="containsText" dxfId="866" priority="353" operator="containsText" text="B">
      <formula>NOT(ISERROR(SEARCH("B",G258)))</formula>
    </cfRule>
    <cfRule type="containsText" dxfId="865" priority="352" operator="containsText" text="C">
      <formula>NOT(ISERROR(SEARCH("C",G258)))</formula>
    </cfRule>
    <cfRule type="containsText" dxfId="864" priority="351" operator="containsText" text="U/R">
      <formula>NOT(ISERROR(SEARCH("U/R",G258)))</formula>
    </cfRule>
  </conditionalFormatting>
  <conditionalFormatting sqref="G267:G268">
    <cfRule type="containsText" dxfId="863" priority="309" operator="containsText" text="A">
      <formula>NOT(ISERROR(SEARCH("A",G267)))</formula>
    </cfRule>
    <cfRule type="containsText" dxfId="862" priority="308" operator="containsText" text="B">
      <formula>NOT(ISERROR(SEARCH("B",G267)))</formula>
    </cfRule>
    <cfRule type="containsText" dxfId="861" priority="307" operator="containsText" text="C">
      <formula>NOT(ISERROR(SEARCH("C",G267)))</formula>
    </cfRule>
    <cfRule type="containsText" dxfId="860" priority="306" operator="containsText" text="U/R">
      <formula>NOT(ISERROR(SEARCH("U/R",G267)))</formula>
    </cfRule>
  </conditionalFormatting>
  <conditionalFormatting sqref="G271:G273">
    <cfRule type="containsText" dxfId="859" priority="382" operator="containsText" text="U/R">
      <formula>NOT(ISERROR(SEARCH("U/R",G271)))</formula>
    </cfRule>
    <cfRule type="containsText" dxfId="858" priority="383" operator="containsText" text="C">
      <formula>NOT(ISERROR(SEARCH("C",G271)))</formula>
    </cfRule>
    <cfRule type="containsText" dxfId="857" priority="385" operator="containsText" text="A">
      <formula>NOT(ISERROR(SEARCH("A",G271)))</formula>
    </cfRule>
    <cfRule type="containsText" dxfId="856" priority="384" operator="containsText" text="B">
      <formula>NOT(ISERROR(SEARCH("B",G271)))</formula>
    </cfRule>
  </conditionalFormatting>
  <conditionalFormatting sqref="G276:G281">
    <cfRule type="containsText" dxfId="855" priority="327" operator="containsText" text="U/R">
      <formula>NOT(ISERROR(SEARCH("U/R",G276)))</formula>
    </cfRule>
    <cfRule type="containsText" dxfId="854" priority="330" operator="containsText" text="A">
      <formula>NOT(ISERROR(SEARCH("A",G276)))</formula>
    </cfRule>
    <cfRule type="containsText" dxfId="853" priority="329" operator="containsText" text="B">
      <formula>NOT(ISERROR(SEARCH("B",G276)))</formula>
    </cfRule>
    <cfRule type="containsText" dxfId="852" priority="328" operator="containsText" text="C">
      <formula>NOT(ISERROR(SEARCH("C",G276)))</formula>
    </cfRule>
  </conditionalFormatting>
  <conditionalFormatting sqref="G283">
    <cfRule type="containsText" dxfId="851" priority="292" operator="containsText" text="C">
      <formula>NOT(ISERROR(SEARCH("C",G283)))</formula>
    </cfRule>
    <cfRule type="containsText" dxfId="850" priority="293" operator="containsText" text="B">
      <formula>NOT(ISERROR(SEARCH("B",G283)))</formula>
    </cfRule>
    <cfRule type="containsText" dxfId="849" priority="294" operator="containsText" text="A">
      <formula>NOT(ISERROR(SEARCH("A",G283)))</formula>
    </cfRule>
  </conditionalFormatting>
  <conditionalFormatting sqref="G231:H231">
    <cfRule type="containsText" dxfId="848" priority="141" operator="containsText" text="U/R">
      <formula>NOT(ISERROR(SEARCH("U/R",G231)))</formula>
    </cfRule>
    <cfRule type="containsText" dxfId="847" priority="144" operator="containsText" text="A">
      <formula>NOT(ISERROR(SEARCH("A",G231)))</formula>
    </cfRule>
    <cfRule type="containsText" dxfId="846" priority="143" operator="containsText" text="B">
      <formula>NOT(ISERROR(SEARCH("B",G231)))</formula>
    </cfRule>
    <cfRule type="containsText" dxfId="845" priority="142" operator="containsText" text="C">
      <formula>NOT(ISERROR(SEARCH("C",G231)))</formula>
    </cfRule>
  </conditionalFormatting>
  <conditionalFormatting sqref="G167:I173">
    <cfRule type="containsText" dxfId="844" priority="1089" operator="containsText" text="A">
      <formula>NOT(ISERROR(SEARCH("A",G167)))</formula>
    </cfRule>
    <cfRule type="containsText" dxfId="843" priority="1088" operator="containsText" text="B">
      <formula>NOT(ISERROR(SEARCH("B",G167)))</formula>
    </cfRule>
    <cfRule type="containsText" dxfId="842" priority="1087" operator="containsText" text="C">
      <formula>NOT(ISERROR(SEARCH("C",G167)))</formula>
    </cfRule>
    <cfRule type="containsText" dxfId="841" priority="1086" operator="containsText" text="U/R">
      <formula>NOT(ISERROR(SEARCH("U/R",G167)))</formula>
    </cfRule>
  </conditionalFormatting>
  <conditionalFormatting sqref="G209:I212">
    <cfRule type="containsText" dxfId="840" priority="1195" operator="containsText" text="C">
      <formula>NOT(ISERROR(SEARCH("C",G209)))</formula>
    </cfRule>
  </conditionalFormatting>
  <conditionalFormatting sqref="G209:I213">
    <cfRule type="containsText" dxfId="839" priority="514" operator="containsText" text="U/R">
      <formula>NOT(ISERROR(SEARCH("U/R",G209)))</formula>
    </cfRule>
  </conditionalFormatting>
  <conditionalFormatting sqref="G213:I213">
    <cfRule type="containsText" dxfId="838" priority="515" operator="containsText" text="C">
      <formula>NOT(ISERROR(SEARCH("C",G213)))</formula>
    </cfRule>
    <cfRule type="containsText" dxfId="837" priority="517" operator="containsText" text="A">
      <formula>NOT(ISERROR(SEARCH("A",G213)))</formula>
    </cfRule>
    <cfRule type="containsText" dxfId="836" priority="516" operator="containsText" text="B">
      <formula>NOT(ISERROR(SEARCH("B",G213)))</formula>
    </cfRule>
  </conditionalFormatting>
  <conditionalFormatting sqref="G244:I251">
    <cfRule type="containsText" dxfId="835" priority="249" operator="containsText" text="A">
      <formula>NOT(ISERROR(SEARCH("A",G244)))</formula>
    </cfRule>
    <cfRule type="containsText" dxfId="834" priority="248" operator="containsText" text="B">
      <formula>NOT(ISERROR(SEARCH("B",G244)))</formula>
    </cfRule>
    <cfRule type="containsText" dxfId="833" priority="247" operator="containsText" text="C">
      <formula>NOT(ISERROR(SEARCH("C",G244)))</formula>
    </cfRule>
    <cfRule type="containsText" dxfId="832" priority="246" operator="containsText" text="U/R">
      <formula>NOT(ISERROR(SEARCH("U/R",G244)))</formula>
    </cfRule>
  </conditionalFormatting>
  <conditionalFormatting sqref="G269:I269">
    <cfRule type="containsText" dxfId="831" priority="150" operator="containsText" text="C">
      <formula>NOT(ISERROR(SEARCH("C",G269)))</formula>
    </cfRule>
    <cfRule type="containsText" dxfId="830" priority="149" operator="containsText" text="U/R">
      <formula>NOT(ISERROR(SEARCH("U/R",G269)))</formula>
    </cfRule>
    <cfRule type="containsText" dxfId="829" priority="151" operator="containsText" text="B">
      <formula>NOT(ISERROR(SEARCH("B",G269)))</formula>
    </cfRule>
    <cfRule type="containsText" dxfId="828" priority="152" operator="containsText" text="A">
      <formula>NOT(ISERROR(SEARCH("A",G269)))</formula>
    </cfRule>
  </conditionalFormatting>
  <conditionalFormatting sqref="G283:I283">
    <cfRule type="containsText" dxfId="827" priority="201" operator="containsText" text="U/R">
      <formula>NOT(ISERROR(SEARCH("U/R",G283)))</formula>
    </cfRule>
  </conditionalFormatting>
  <conditionalFormatting sqref="G22:J22 N27:T27 N43:T44 G20:M20 G21:T21 G23:M23 G24:J24 G25:M26 G27:J27 G28:M28 G43:J44 G46:J47 G49:J53 G36:J41 M100:T100 M102:T108 J109:T109 M119:T125 J126:T126 G35:O35 L36:T36 N38:T38 P38:P41 S38:S41 M175:T177 J29:T29">
    <cfRule type="containsText" dxfId="826" priority="2723" operator="containsText" text="C">
      <formula>NOT(ISERROR(SEARCH("C",G20)))</formula>
    </cfRule>
  </conditionalFormatting>
  <conditionalFormatting sqref="G22:J22">
    <cfRule type="containsText" dxfId="825" priority="2722" operator="containsText" text="U/R">
      <formula>NOT(ISERROR(SEARCH("U/R",G22)))</formula>
    </cfRule>
  </conditionalFormatting>
  <conditionalFormatting sqref="G29:J29 G54:J54 G73:J73 G109:J109 G143:J143 G157:J157 G174:J174 G189:J189 G208:J208 V83:V100 P83:P100 S83:S100 H209:H212">
    <cfRule type="containsText" dxfId="824" priority="1046" operator="containsText" text="B">
      <formula>NOT(ISERROR(SEARCH("B",G29)))</formula>
    </cfRule>
  </conditionalFormatting>
  <conditionalFormatting sqref="G29:J29 G54:J54 G73:J73 P83:P100 S83:S100 V83:V100 G109:J109 G143:J143 G157:J157 G174:J174 G189:J189 G208:J208 H209:H212">
    <cfRule type="containsText" dxfId="823" priority="1047" operator="containsText" text="A">
      <formula>NOT(ISERROR(SEARCH("A",G29)))</formula>
    </cfRule>
  </conditionalFormatting>
  <conditionalFormatting sqref="G46:J46">
    <cfRule type="containsText" dxfId="822" priority="1737" operator="containsText" text="B">
      <formula>NOT(ISERROR(SEARCH("B",G46)))</formula>
    </cfRule>
    <cfRule type="containsText" dxfId="821" priority="1736" operator="containsText" text="C">
      <formula>NOT(ISERROR(SEARCH("C",G46)))</formula>
    </cfRule>
    <cfRule type="containsText" dxfId="820" priority="1735" operator="containsText" text="U/R">
      <formula>NOT(ISERROR(SEARCH("U/R",G46)))</formula>
    </cfRule>
    <cfRule type="containsText" dxfId="819" priority="1738" operator="containsText" text="A">
      <formula>NOT(ISERROR(SEARCH("A",G46)))</formula>
    </cfRule>
  </conditionalFormatting>
  <conditionalFormatting sqref="G81:J81 G83:J83">
    <cfRule type="containsText" dxfId="818" priority="1525" operator="containsText" text="A">
      <formula>NOT(ISERROR(SEARCH("A",G81)))</formula>
    </cfRule>
    <cfRule type="containsText" dxfId="817" priority="1522" operator="containsText" text="U/R">
      <formula>NOT(ISERROR(SEARCH("U/R",G81)))</formula>
    </cfRule>
    <cfRule type="containsText" dxfId="816" priority="1523" operator="containsText" text="C">
      <formula>NOT(ISERROR(SEARCH("C",G81)))</formula>
    </cfRule>
    <cfRule type="containsText" dxfId="815" priority="1524" operator="containsText" text="B">
      <formula>NOT(ISERROR(SEARCH("B",G81)))</formula>
    </cfRule>
  </conditionalFormatting>
  <conditionalFormatting sqref="G91:J92">
    <cfRule type="containsText" dxfId="814" priority="134" operator="containsText" text="A">
      <formula>NOT(ISERROR(SEARCH("A",G91)))</formula>
    </cfRule>
    <cfRule type="containsText" dxfId="813" priority="133" operator="containsText" text="B">
      <formula>NOT(ISERROR(SEARCH("B",G91)))</formula>
    </cfRule>
    <cfRule type="containsText" dxfId="812" priority="132" operator="containsText" text="C">
      <formula>NOT(ISERROR(SEARCH("C",G91)))</formula>
    </cfRule>
    <cfRule type="containsText" dxfId="811" priority="131" operator="containsText" text="U/R">
      <formula>NOT(ISERROR(SEARCH("U/R",G91)))</formula>
    </cfRule>
  </conditionalFormatting>
  <conditionalFormatting sqref="G98:J99">
    <cfRule type="containsText" dxfId="810" priority="544" operator="containsText" text="B">
      <formula>NOT(ISERROR(SEARCH("B",G98)))</formula>
    </cfRule>
    <cfRule type="containsText" dxfId="809" priority="545" operator="containsText" text="A">
      <formula>NOT(ISERROR(SEARCH("A",G98)))</formula>
    </cfRule>
    <cfRule type="containsText" dxfId="808" priority="543" operator="containsText" text="C">
      <formula>NOT(ISERROR(SEARCH("C",G98)))</formula>
    </cfRule>
    <cfRule type="containsText" dxfId="807" priority="542" operator="containsText" text="U/R">
      <formula>NOT(ISERROR(SEARCH("U/R",G98)))</formula>
    </cfRule>
  </conditionalFormatting>
  <conditionalFormatting sqref="G100:J100">
    <cfRule type="containsText" dxfId="806" priority="1855" operator="containsText" text="C">
      <formula>NOT(ISERROR(SEARCH("C",G100)))</formula>
    </cfRule>
    <cfRule type="containsText" dxfId="805" priority="1854" operator="containsText" text="U/R">
      <formula>NOT(ISERROR(SEARCH("U/R",G100)))</formula>
    </cfRule>
    <cfRule type="containsText" dxfId="804" priority="1856" operator="containsText" text="B">
      <formula>NOT(ISERROR(SEARCH("B",G100)))</formula>
    </cfRule>
    <cfRule type="containsText" dxfId="803" priority="1857" operator="containsText" text="A">
      <formula>NOT(ISERROR(SEARCH("A",G100)))</formula>
    </cfRule>
  </conditionalFormatting>
  <conditionalFormatting sqref="G109:J109 G54:J54 G143:J143 G157:J157 G174:J174 G189:J189 G208:J208 G73:J73 G29:J29">
    <cfRule type="containsText" dxfId="802" priority="1045" operator="containsText" text="C">
      <formula>NOT(ISERROR(SEARCH("C",G29)))</formula>
    </cfRule>
  </conditionalFormatting>
  <conditionalFormatting sqref="G109:J109">
    <cfRule type="containsText" dxfId="801" priority="1044" operator="containsText" text="U/R">
      <formula>NOT(ISERROR(SEARCH("U/R",G109)))</formula>
    </cfRule>
  </conditionalFormatting>
  <conditionalFormatting sqref="G117:J117">
    <cfRule type="containsText" dxfId="800" priority="1644" operator="containsText" text="A">
      <formula>NOT(ISERROR(SEARCH("A",G117)))</formula>
    </cfRule>
    <cfRule type="containsText" dxfId="799" priority="1643" operator="containsText" text="B">
      <formula>NOT(ISERROR(SEARCH("B",G117)))</formula>
    </cfRule>
    <cfRule type="containsText" dxfId="798" priority="1642" operator="containsText" text="C">
      <formula>NOT(ISERROR(SEARCH("C",G117)))</formula>
    </cfRule>
    <cfRule type="containsText" dxfId="797" priority="1641" operator="containsText" text="U/R">
      <formula>NOT(ISERROR(SEARCH("U/R",G117)))</formula>
    </cfRule>
  </conditionalFormatting>
  <conditionalFormatting sqref="G126:J126">
    <cfRule type="containsText" dxfId="796" priority="1608" operator="containsText" text="A">
      <formula>NOT(ISERROR(SEARCH("A",G126)))</formula>
    </cfRule>
    <cfRule type="containsText" dxfId="795" priority="1607" operator="containsText" text="B">
      <formula>NOT(ISERROR(SEARCH("B",G126)))</formula>
    </cfRule>
    <cfRule type="containsText" dxfId="794" priority="1605" operator="containsText" text="U/R">
      <formula>NOT(ISERROR(SEARCH("U/R",G126)))</formula>
    </cfRule>
    <cfRule type="containsText" dxfId="793" priority="1606" operator="containsText" text="C">
      <formula>NOT(ISERROR(SEARCH("C",G126)))</formula>
    </cfRule>
  </conditionalFormatting>
  <conditionalFormatting sqref="G134:J134">
    <cfRule type="containsText" dxfId="792" priority="1463" operator="containsText" text="C">
      <formula>NOT(ISERROR(SEARCH("C",G134)))</formula>
    </cfRule>
    <cfRule type="containsText" dxfId="791" priority="1462" operator="containsText" text="U/R">
      <formula>NOT(ISERROR(SEARCH("U/R",G134)))</formula>
    </cfRule>
    <cfRule type="containsText" dxfId="790" priority="1464" operator="containsText" text="B">
      <formula>NOT(ISERROR(SEARCH("B",G134)))</formula>
    </cfRule>
    <cfRule type="containsText" dxfId="789" priority="1465" operator="containsText" text="A">
      <formula>NOT(ISERROR(SEARCH("A",G134)))</formula>
    </cfRule>
  </conditionalFormatting>
  <conditionalFormatting sqref="G46:L46">
    <cfRule type="containsText" dxfId="788" priority="1726" operator="containsText" text="A">
      <formula>NOT(ISERROR(SEARCH("A",G46)))</formula>
    </cfRule>
    <cfRule type="containsText" dxfId="787" priority="1724" operator="containsText" text="C">
      <formula>NOT(ISERROR(SEARCH("C",G46)))</formula>
    </cfRule>
    <cfRule type="containsText" dxfId="786" priority="1725" operator="containsText" text="B">
      <formula>NOT(ISERROR(SEARCH("B",G46)))</formula>
    </cfRule>
  </conditionalFormatting>
  <conditionalFormatting sqref="G46:L47">
    <cfRule type="containsText" dxfId="785" priority="1723" operator="containsText" text="U/R">
      <formula>NOT(ISERROR(SEARCH("U/R",G46)))</formula>
    </cfRule>
  </conditionalFormatting>
  <conditionalFormatting sqref="G20:M20 G21:T21 G22:J22 G23:M23 G24:J24 G25:M26 G27:J27 N27:T27 G28:M28 J29:T29 M39:T39 N40:T41 G43:J44 N43:T44 G46:J47 G49:J53 J91:T91 M100:T100 M102:T108 J109:T109 M119:T125 J126:T126 M175:T177">
    <cfRule type="containsText" dxfId="784" priority="2725" operator="containsText" text="A">
      <formula>NOT(ISERROR(SEARCH("A",G20)))</formula>
    </cfRule>
  </conditionalFormatting>
  <conditionalFormatting sqref="G20:M20 G21:T21 G22:J22 G23:M23 G24:J24 G25:M26 G27:J27 N27:T27 G28:M28 J29:T29 M39:T39 N40:T41 G43:J44 N43:T44 G46:J47 G49:J53 M100:T100 M102:T108 J109:T109 M119:T125 J126:T126 M175:T177 J91:T91">
    <cfRule type="containsText" dxfId="783" priority="2724" operator="containsText" text="B">
      <formula>NOT(ISERROR(SEARCH("B",G20)))</formula>
    </cfRule>
  </conditionalFormatting>
  <conditionalFormatting sqref="G23:M23 G24:J24 G25:M26 G43:J44 G46:J47 G49:J53 G27:J27 V175:V177 G20:M21 G28:M28 V43:V44">
    <cfRule type="containsText" dxfId="782" priority="2058" operator="containsText" text="U/R">
      <formula>NOT(ISERROR(SEARCH("U/R",G20)))</formula>
    </cfRule>
  </conditionalFormatting>
  <conditionalFormatting sqref="G50:N50 P50:Q50 S50:T50 V50 J24:T24 J39:L39 J40:M41 D46:D47 M46:M47 J46:J47 M22:T23 D43:D44 J43:T44 G48:M49 G72:I72">
    <cfRule type="containsText" dxfId="781" priority="1850" operator="containsText" text="U/R">
      <formula>NOT(ISERROR(SEARCH("U/R",D22)))</formula>
    </cfRule>
  </conditionalFormatting>
  <conditionalFormatting sqref="G35:O35">
    <cfRule type="containsText" dxfId="780" priority="987" operator="containsText" text="U/R">
      <formula>NOT(ISERROR(SEARCH("U/R",G35)))</formula>
    </cfRule>
  </conditionalFormatting>
  <conditionalFormatting sqref="G35:Q35 L36:T36 G36:J41 M37:Q37 P37:P41 N38:T38 S38:S41 D46 H148:H149">
    <cfRule type="containsText" dxfId="779" priority="1767" operator="containsText" text="A">
      <formula>NOT(ISERROR(SEARCH("A",D35)))</formula>
    </cfRule>
  </conditionalFormatting>
  <conditionalFormatting sqref="G14:T17 V14:W17">
    <cfRule type="containsText" dxfId="778" priority="80" operator="containsText" text="C">
      <formula>NOT(ISERROR(SEARCH("C",G14)))</formula>
    </cfRule>
  </conditionalFormatting>
  <conditionalFormatting sqref="G14:T17">
    <cfRule type="containsText" dxfId="777" priority="79" operator="containsText" text="A">
      <formula>NOT(ISERROR(SEARCH("A",G14)))</formula>
    </cfRule>
    <cfRule type="containsText" dxfId="776" priority="78" operator="containsText" text="B">
      <formula>NOT(ISERROR(SEARCH("B",G14)))</formula>
    </cfRule>
  </conditionalFormatting>
  <conditionalFormatting sqref="G29:T34 V29:V41 D30:E41 N190:N207 Q190:Q207 T190:T207 K191:K197 K200:K207">
    <cfRule type="containsText" dxfId="775" priority="907" operator="containsText" text="U/R">
      <formula>NOT(ISERROR(SEARCH("U/R",D29)))</formula>
    </cfRule>
  </conditionalFormatting>
  <conditionalFormatting sqref="G54:T54 G143:T143 G157:T157 G174:T174 G189:T189 G208:T208">
    <cfRule type="containsText" dxfId="774" priority="1043" operator="containsText" text="U/R">
      <formula>NOT(ISERROR(SEARCH("U/R",G54)))</formula>
    </cfRule>
  </conditionalFormatting>
  <conditionalFormatting sqref="G55:T58">
    <cfRule type="containsText" dxfId="773" priority="1013" operator="containsText" text="A">
      <formula>NOT(ISERROR(SEARCH("A",G55)))</formula>
    </cfRule>
    <cfRule type="containsText" dxfId="772" priority="1012" operator="containsText" text="B">
      <formula>NOT(ISERROR(SEARCH("B",G55)))</formula>
    </cfRule>
    <cfRule type="containsText" dxfId="771" priority="1011" operator="containsText" text="C">
      <formula>NOT(ISERROR(SEARCH("C",G55)))</formula>
    </cfRule>
    <cfRule type="containsText" dxfId="770" priority="1010" operator="containsText" text="U/R">
      <formula>NOT(ISERROR(SEARCH("U/R",G55)))</formula>
    </cfRule>
  </conditionalFormatting>
  <conditionalFormatting sqref="G73:T73">
    <cfRule type="containsText" dxfId="769" priority="1022" operator="containsText" text="U/R">
      <formula>NOT(ISERROR(SEARCH("U/R",G73)))</formula>
    </cfRule>
  </conditionalFormatting>
  <conditionalFormatting sqref="H12:H13">
    <cfRule type="containsText" dxfId="768" priority="97" operator="containsText" text="A">
      <formula>NOT(ISERROR(SEARCH("A",H12)))</formula>
    </cfRule>
    <cfRule type="containsText" dxfId="767" priority="94" operator="containsText" text="U/R">
      <formula>NOT(ISERROR(SEARCH("U/R",H12)))</formula>
    </cfRule>
    <cfRule type="containsText" dxfId="766" priority="95" operator="containsText" text="C">
      <formula>NOT(ISERROR(SEARCH("C",H12)))</formula>
    </cfRule>
    <cfRule type="containsText" dxfId="765" priority="96" operator="containsText" text="B">
      <formula>NOT(ISERROR(SEARCH("B",H12)))</formula>
    </cfRule>
  </conditionalFormatting>
  <conditionalFormatting sqref="H18:H19 H45 H65 H82 H101">
    <cfRule type="containsText" dxfId="764" priority="1061" operator="containsText" text="U/R">
      <formula>NOT(ISERROR(SEARCH("U/R",H18)))</formula>
    </cfRule>
    <cfRule type="containsText" dxfId="763" priority="1062" operator="containsText" text="C">
      <formula>NOT(ISERROR(SEARCH("C",H18)))</formula>
    </cfRule>
    <cfRule type="containsText" dxfId="762" priority="1063" operator="containsText" text="B">
      <formula>NOT(ISERROR(SEARCH("B",H18)))</formula>
    </cfRule>
    <cfRule type="containsText" dxfId="761" priority="1064" operator="containsText" text="A">
      <formula>NOT(ISERROR(SEARCH("A",H18)))</formula>
    </cfRule>
  </conditionalFormatting>
  <conditionalFormatting sqref="H42">
    <cfRule type="containsText" dxfId="760" priority="1032" operator="containsText" text="U/R">
      <formula>NOT(ISERROR(SEARCH("U/R",H42)))</formula>
    </cfRule>
    <cfRule type="containsText" dxfId="759" priority="1033" operator="containsText" text="C">
      <formula>NOT(ISERROR(SEARCH("C",H42)))</formula>
    </cfRule>
    <cfRule type="containsText" dxfId="758" priority="1035" operator="containsText" text="A">
      <formula>NOT(ISERROR(SEARCH("A",H42)))</formula>
    </cfRule>
    <cfRule type="containsText" dxfId="757" priority="1034" operator="containsText" text="B">
      <formula>NOT(ISERROR(SEARCH("B",H42)))</formula>
    </cfRule>
  </conditionalFormatting>
  <conditionalFormatting sqref="H59:H62">
    <cfRule type="containsText" dxfId="756" priority="871" operator="containsText" text="A">
      <formula>NOT(ISERROR(SEARCH("A",H59)))</formula>
    </cfRule>
    <cfRule type="containsText" dxfId="755" priority="870" operator="containsText" text="B">
      <formula>NOT(ISERROR(SEARCH("B",H59)))</formula>
    </cfRule>
    <cfRule type="containsText" dxfId="754" priority="869" operator="containsText" text="C">
      <formula>NOT(ISERROR(SEARCH("C",H59)))</formula>
    </cfRule>
    <cfRule type="containsText" dxfId="753" priority="868" operator="containsText" text="U/R">
      <formula>NOT(ISERROR(SEARCH("U/R",H59)))</formula>
    </cfRule>
  </conditionalFormatting>
  <conditionalFormatting sqref="H77:H80">
    <cfRule type="containsText" dxfId="752" priority="862" operator="containsText" text="B">
      <formula>NOT(ISERROR(SEARCH("B",H77)))</formula>
    </cfRule>
    <cfRule type="containsText" dxfId="751" priority="861" operator="containsText" text="C">
      <formula>NOT(ISERROR(SEARCH("C",H77)))</formula>
    </cfRule>
    <cfRule type="containsText" dxfId="750" priority="860" operator="containsText" text="U/R">
      <formula>NOT(ISERROR(SEARCH("U/R",H77)))</formula>
    </cfRule>
    <cfRule type="containsText" dxfId="749" priority="863" operator="containsText" text="A">
      <formula>NOT(ISERROR(SEARCH("A",H77)))</formula>
    </cfRule>
  </conditionalFormatting>
  <conditionalFormatting sqref="H114:H116">
    <cfRule type="containsText" dxfId="748" priority="859" operator="containsText" text="A">
      <formula>NOT(ISERROR(SEARCH("A",H114)))</formula>
    </cfRule>
    <cfRule type="containsText" dxfId="747" priority="856" operator="containsText" text="U/R">
      <formula>NOT(ISERROR(SEARCH("U/R",H114)))</formula>
    </cfRule>
    <cfRule type="containsText" dxfId="746" priority="857" operator="containsText" text="C">
      <formula>NOT(ISERROR(SEARCH("C",H114)))</formula>
    </cfRule>
    <cfRule type="containsText" dxfId="745" priority="858" operator="containsText" text="B">
      <formula>NOT(ISERROR(SEARCH("B",H114)))</formula>
    </cfRule>
  </conditionalFormatting>
  <conditionalFormatting sqref="H118 H135">
    <cfRule type="containsText" dxfId="744" priority="1072" operator="containsText" text="U/R">
      <formula>NOT(ISERROR(SEARCH("U/R",H118)))</formula>
    </cfRule>
    <cfRule type="containsText" dxfId="743" priority="1073" operator="containsText" text="C">
      <formula>NOT(ISERROR(SEARCH("C",H118)))</formula>
    </cfRule>
    <cfRule type="containsText" dxfId="742" priority="1074" operator="containsText" text="B">
      <formula>NOT(ISERROR(SEARCH("B",H118)))</formula>
    </cfRule>
    <cfRule type="containsText" dxfId="741" priority="1075" operator="containsText" text="A">
      <formula>NOT(ISERROR(SEARCH("A",H118)))</formula>
    </cfRule>
  </conditionalFormatting>
  <conditionalFormatting sqref="H130:H133">
    <cfRule type="containsText" dxfId="740" priority="615" operator="containsText" text="C">
      <formula>NOT(ISERROR(SEARCH("C",H130)))</formula>
    </cfRule>
    <cfRule type="containsText" dxfId="739" priority="614" operator="containsText" text="U/R">
      <formula>NOT(ISERROR(SEARCH("U/R",H130)))</formula>
    </cfRule>
    <cfRule type="containsText" dxfId="738" priority="617" operator="containsText" text="A">
      <formula>NOT(ISERROR(SEARCH("A",H130)))</formula>
    </cfRule>
    <cfRule type="containsText" dxfId="737" priority="616" operator="containsText" text="B">
      <formula>NOT(ISERROR(SEARCH("B",H130)))</formula>
    </cfRule>
  </conditionalFormatting>
  <conditionalFormatting sqref="H148:H149 D46">
    <cfRule type="containsText" dxfId="736" priority="1765" operator="containsText" text="C">
      <formula>NOT(ISERROR(SEARCH("C",D46)))</formula>
    </cfRule>
  </conditionalFormatting>
  <conditionalFormatting sqref="H148:H149">
    <cfRule type="containsText" dxfId="735" priority="1764" operator="containsText" text="U/R">
      <formula>NOT(ISERROR(SEARCH("U/R",H148)))</formula>
    </cfRule>
  </conditionalFormatting>
  <conditionalFormatting sqref="H161:H166">
    <cfRule type="containsText" dxfId="734" priority="606" operator="containsText" text="U/R">
      <formula>NOT(ISERROR(SEARCH("U/R",H161)))</formula>
    </cfRule>
    <cfRule type="containsText" dxfId="733" priority="607" operator="containsText" text="C">
      <formula>NOT(ISERROR(SEARCH("C",H161)))</formula>
    </cfRule>
    <cfRule type="containsText" dxfId="732" priority="608" operator="containsText" text="B">
      <formula>NOT(ISERROR(SEARCH("B",H161)))</formula>
    </cfRule>
    <cfRule type="containsText" dxfId="731" priority="609" operator="containsText" text="A">
      <formula>NOT(ISERROR(SEARCH("A",H161)))</formula>
    </cfRule>
  </conditionalFormatting>
  <conditionalFormatting sqref="H178:H180">
    <cfRule type="containsText" dxfId="730" priority="852" operator="containsText" text="U/R">
      <formula>NOT(ISERROR(SEARCH("U/R",H178)))</formula>
    </cfRule>
    <cfRule type="containsText" dxfId="729" priority="853" operator="containsText" text="C">
      <formula>NOT(ISERROR(SEARCH("C",H178)))</formula>
    </cfRule>
    <cfRule type="containsText" dxfId="728" priority="854" operator="containsText" text="B">
      <formula>NOT(ISERROR(SEARCH("B",H178)))</formula>
    </cfRule>
    <cfRule type="containsText" dxfId="727" priority="855" operator="containsText" text="A">
      <formula>NOT(ISERROR(SEARCH("A",H178)))</formula>
    </cfRule>
  </conditionalFormatting>
  <conditionalFormatting sqref="H190:H197">
    <cfRule type="containsText" dxfId="726" priority="529" operator="containsText" text="A">
      <formula>NOT(ISERROR(SEARCH("A",H190)))</formula>
    </cfRule>
    <cfRule type="containsText" dxfId="725" priority="528" operator="containsText" text="B">
      <formula>NOT(ISERROR(SEARCH("B",H190)))</formula>
    </cfRule>
    <cfRule type="containsText" dxfId="724" priority="527" operator="containsText" text="C">
      <formula>NOT(ISERROR(SEARCH("C",H190)))</formula>
    </cfRule>
    <cfRule type="containsText" dxfId="723" priority="526" operator="containsText" text="U/R">
      <formula>NOT(ISERROR(SEARCH("U/R",H190)))</formula>
    </cfRule>
  </conditionalFormatting>
  <conditionalFormatting sqref="H214:H219">
    <cfRule type="containsText" dxfId="722" priority="524" operator="containsText" text="B">
      <formula>NOT(ISERROR(SEARCH("B",H214)))</formula>
    </cfRule>
    <cfRule type="containsText" dxfId="721" priority="525" operator="containsText" text="A">
      <formula>NOT(ISERROR(SEARCH("A",H214)))</formula>
    </cfRule>
  </conditionalFormatting>
  <conditionalFormatting sqref="H214:H230 H232:H243 K210:K287 D63 V83:V100 J131:K131 N209:N287 Q209:Q287 T209:T287">
    <cfRule type="containsText" dxfId="720" priority="721" operator="containsText" text="U/R">
      <formula>NOT(ISERROR(SEARCH("U/R",D63)))</formula>
    </cfRule>
  </conditionalFormatting>
  <conditionalFormatting sqref="H215:H217">
    <cfRule type="containsText" dxfId="719" priority="523" operator="containsText" text="C">
      <formula>NOT(ISERROR(SEARCH("C",H215)))</formula>
    </cfRule>
  </conditionalFormatting>
  <conditionalFormatting sqref="H220:H227">
    <cfRule type="containsText" dxfId="718" priority="456" operator="containsText" text="C">
      <formula>NOT(ISERROR(SEARCH("C",H220)))</formula>
    </cfRule>
  </conditionalFormatting>
  <conditionalFormatting sqref="H232">
    <cfRule type="containsText" dxfId="717" priority="135" operator="containsText" text="B">
      <formula>NOT(ISERROR(SEARCH("B",H232)))</formula>
    </cfRule>
    <cfRule type="containsText" dxfId="716" priority="136" operator="containsText" text="A">
      <formula>NOT(ISERROR(SEARCH("A",H232)))</formula>
    </cfRule>
  </conditionalFormatting>
  <conditionalFormatting sqref="H233:H235">
    <cfRule type="containsText" dxfId="715" priority="442" operator="containsText" text="A">
      <formula>NOT(ISERROR(SEARCH("A",H233)))</formula>
    </cfRule>
    <cfRule type="containsText" dxfId="714" priority="441" operator="containsText" text="B">
      <formula>NOT(ISERROR(SEARCH("B",H233)))</formula>
    </cfRule>
    <cfRule type="containsText" dxfId="713" priority="440" operator="containsText" text="C">
      <formula>NOT(ISERROR(SEARCH("C",H233)))</formula>
    </cfRule>
  </conditionalFormatting>
  <conditionalFormatting sqref="H236:H243">
    <cfRule type="containsText" dxfId="712" priority="449" operator="containsText" text="B">
      <formula>NOT(ISERROR(SEARCH("B",H236)))</formula>
    </cfRule>
    <cfRule type="containsText" dxfId="711" priority="450" operator="containsText" text="A">
      <formula>NOT(ISERROR(SEARCH("A",H236)))</formula>
    </cfRule>
  </conditionalFormatting>
  <conditionalFormatting sqref="H238:H242">
    <cfRule type="containsText" dxfId="710" priority="448" operator="containsText" text="C">
      <formula>NOT(ISERROR(SEARCH("C",H238)))</formula>
    </cfRule>
  </conditionalFormatting>
  <conditionalFormatting sqref="H252 H256:H257 H266 H270 H274:H275 H282 H284:H285 H287">
    <cfRule type="containsText" dxfId="709" priority="477" operator="containsText" text="A">
      <formula>NOT(ISERROR(SEARCH("A",H252)))</formula>
    </cfRule>
  </conditionalFormatting>
  <conditionalFormatting sqref="H252:H255">
    <cfRule type="containsText" dxfId="708" priority="245" operator="containsText" text="U/R">
      <formula>NOT(ISERROR(SEARCH("U/R",H252)))</formula>
    </cfRule>
  </conditionalFormatting>
  <conditionalFormatting sqref="H253:H255">
    <cfRule type="containsText" dxfId="707" priority="236" operator="containsText" text="A">
      <formula>NOT(ISERROR(SEARCH("A",H253)))</formula>
    </cfRule>
    <cfRule type="containsText" dxfId="706" priority="234" operator="containsText" text="C">
      <formula>NOT(ISERROR(SEARCH("C",H253)))</formula>
    </cfRule>
    <cfRule type="containsText" dxfId="705" priority="235" operator="containsText" text="B">
      <formula>NOT(ISERROR(SEARCH("B",H253)))</formula>
    </cfRule>
  </conditionalFormatting>
  <conditionalFormatting sqref="H256:H257 H266 H284:H285 H287 H282 H270 H274:H275 H252">
    <cfRule type="containsText" dxfId="704" priority="476" operator="containsText" text="B">
      <formula>NOT(ISERROR(SEARCH("B",H252)))</formula>
    </cfRule>
  </conditionalFormatting>
  <conditionalFormatting sqref="H256:H266">
    <cfRule type="containsText" dxfId="703" priority="281" operator="containsText" text="U/R">
      <formula>NOT(ISERROR(SEARCH("U/R",H256)))</formula>
    </cfRule>
  </conditionalFormatting>
  <conditionalFormatting sqref="H258:H265">
    <cfRule type="containsText" dxfId="702" priority="276" operator="containsText" text="A">
      <formula>NOT(ISERROR(SEARCH("A",H258)))</formula>
    </cfRule>
    <cfRule type="containsText" dxfId="701" priority="275" operator="containsText" text="B">
      <formula>NOT(ISERROR(SEARCH("B",H258)))</formula>
    </cfRule>
    <cfRule type="containsText" dxfId="700" priority="274" operator="containsText" text="C">
      <formula>NOT(ISERROR(SEARCH("C",H258)))</formula>
    </cfRule>
  </conditionalFormatting>
  <conditionalFormatting sqref="H267:H268">
    <cfRule type="containsText" dxfId="699" priority="220" operator="containsText" text="A">
      <formula>NOT(ISERROR(SEARCH("A",H267)))</formula>
    </cfRule>
    <cfRule type="containsText" dxfId="698" priority="219" operator="containsText" text="B">
      <formula>NOT(ISERROR(SEARCH("B",H267)))</formula>
    </cfRule>
    <cfRule type="containsText" dxfId="697" priority="218" operator="containsText" text="C">
      <formula>NOT(ISERROR(SEARCH("C",H267)))</formula>
    </cfRule>
  </conditionalFormatting>
  <conditionalFormatting sqref="H268">
    <cfRule type="containsText" dxfId="696" priority="225" operator="containsText" text="U/R">
      <formula>NOT(ISERROR(SEARCH("U/R",H268)))</formula>
    </cfRule>
  </conditionalFormatting>
  <conditionalFormatting sqref="H270:H275">
    <cfRule type="containsText" dxfId="695" priority="257" operator="containsText" text="U/R">
      <formula>NOT(ISERROR(SEARCH("U/R",H270)))</formula>
    </cfRule>
  </conditionalFormatting>
  <conditionalFormatting sqref="H271:H273">
    <cfRule type="containsText" dxfId="694" priority="252" operator="containsText" text="A">
      <formula>NOT(ISERROR(SEARCH("A",H271)))</formula>
    </cfRule>
    <cfRule type="containsText" dxfId="693" priority="251" operator="containsText" text="B">
      <formula>NOT(ISERROR(SEARCH("B",H271)))</formula>
    </cfRule>
    <cfRule type="containsText" dxfId="692" priority="250" operator="containsText" text="C">
      <formula>NOT(ISERROR(SEARCH("C",H271)))</formula>
    </cfRule>
  </conditionalFormatting>
  <conditionalFormatting sqref="H276:H277">
    <cfRule type="containsText" dxfId="691" priority="213" operator="containsText" text="U/R">
      <formula>NOT(ISERROR(SEARCH("U/R",H276)))</formula>
    </cfRule>
    <cfRule type="containsText" dxfId="690" priority="208" operator="containsText" text="A">
      <formula>NOT(ISERROR(SEARCH("A",H276)))</formula>
    </cfRule>
    <cfRule type="containsText" dxfId="689" priority="207" operator="containsText" text="B">
      <formula>NOT(ISERROR(SEARCH("B",H276)))</formula>
    </cfRule>
    <cfRule type="containsText" dxfId="688" priority="206" operator="containsText" text="C">
      <formula>NOT(ISERROR(SEARCH("C",H276)))</formula>
    </cfRule>
  </conditionalFormatting>
  <conditionalFormatting sqref="H278:H282">
    <cfRule type="containsText" dxfId="687" priority="265" operator="containsText" text="U/R">
      <formula>NOT(ISERROR(SEARCH("U/R",H278)))</formula>
    </cfRule>
  </conditionalFormatting>
  <conditionalFormatting sqref="H283">
    <cfRule type="containsText" dxfId="686" priority="198" operator="containsText" text="C">
      <formula>NOT(ISERROR(SEARCH("C",H283)))</formula>
    </cfRule>
    <cfRule type="containsText" dxfId="685" priority="199" operator="containsText" text="B">
      <formula>NOT(ISERROR(SEARCH("B",H283)))</formula>
    </cfRule>
    <cfRule type="containsText" dxfId="684" priority="200" operator="containsText" text="A">
      <formula>NOT(ISERROR(SEARCH("A",H283)))</formula>
    </cfRule>
  </conditionalFormatting>
  <conditionalFormatting sqref="H284:H287">
    <cfRule type="containsText" dxfId="683" priority="273" operator="containsText" text="U/R">
      <formula>NOT(ISERROR(SEARCH("U/R",H284)))</formula>
    </cfRule>
  </conditionalFormatting>
  <conditionalFormatting sqref="H286">
    <cfRule type="containsText" dxfId="682" priority="266" operator="containsText" text="C">
      <formula>NOT(ISERROR(SEARCH("C",H286)))</formula>
    </cfRule>
    <cfRule type="containsText" dxfId="681" priority="267" operator="containsText" text="B">
      <formula>NOT(ISERROR(SEARCH("B",H286)))</formula>
    </cfRule>
    <cfRule type="containsText" dxfId="680" priority="268" operator="containsText" text="A">
      <formula>NOT(ISERROR(SEARCH("A",H286)))</formula>
    </cfRule>
  </conditionalFormatting>
  <conditionalFormatting sqref="H84:I90">
    <cfRule type="containsText" dxfId="679" priority="1515" operator="containsText" text="U/R">
      <formula>NOT(ISERROR(SEARCH("U/R",H84)))</formula>
    </cfRule>
    <cfRule type="containsText" dxfId="678" priority="1516" operator="containsText" text="C">
      <formula>NOT(ISERROR(SEARCH("C",H84)))</formula>
    </cfRule>
    <cfRule type="containsText" dxfId="677" priority="1517" operator="containsText" text="B">
      <formula>NOT(ISERROR(SEARCH("B",H84)))</formula>
    </cfRule>
    <cfRule type="containsText" dxfId="676" priority="1518" operator="containsText" text="A">
      <formula>NOT(ISERROR(SEARCH("A",H84)))</formula>
    </cfRule>
  </conditionalFormatting>
  <conditionalFormatting sqref="H93:I97">
    <cfRule type="containsText" dxfId="675" priority="1542" operator="containsText" text="A">
      <formula>NOT(ISERROR(SEARCH("A",H93)))</formula>
    </cfRule>
    <cfRule type="containsText" dxfId="674" priority="1541" operator="containsText" text="B">
      <formula>NOT(ISERROR(SEARCH("B",H93)))</formula>
    </cfRule>
    <cfRule type="containsText" dxfId="673" priority="1540" operator="containsText" text="C">
      <formula>NOT(ISERROR(SEARCH("C",H93)))</formula>
    </cfRule>
    <cfRule type="containsText" dxfId="672" priority="1539" operator="containsText" text="U/R">
      <formula>NOT(ISERROR(SEARCH("U/R",H93)))</formula>
    </cfRule>
  </conditionalFormatting>
  <conditionalFormatting sqref="H184:I188">
    <cfRule type="containsText" dxfId="671" priority="838" operator="containsText" text="U/R">
      <formula>NOT(ISERROR(SEARCH("U/R",H184)))</formula>
    </cfRule>
    <cfRule type="containsText" dxfId="670" priority="839" operator="containsText" text="C">
      <formula>NOT(ISERROR(SEARCH("C",H184)))</formula>
    </cfRule>
    <cfRule type="containsText" dxfId="669" priority="840" operator="containsText" text="B">
      <formula>NOT(ISERROR(SEARCH("B",H184)))</formula>
    </cfRule>
    <cfRule type="containsText" dxfId="668" priority="841" operator="containsText" text="A">
      <formula>NOT(ISERROR(SEARCH("A",H184)))</formula>
    </cfRule>
  </conditionalFormatting>
  <conditionalFormatting sqref="H203:I207">
    <cfRule type="containsText" dxfId="667" priority="830" operator="containsText" text="U/R">
      <formula>NOT(ISERROR(SEARCH("U/R",H203)))</formula>
    </cfRule>
    <cfRule type="containsText" dxfId="666" priority="831" operator="containsText" text="C">
      <formula>NOT(ISERROR(SEARCH("C",H203)))</formula>
    </cfRule>
    <cfRule type="containsText" dxfId="665" priority="832" operator="containsText" text="B">
      <formula>NOT(ISERROR(SEARCH("B",H203)))</formula>
    </cfRule>
    <cfRule type="containsText" dxfId="664" priority="833" operator="containsText" text="A">
      <formula>NOT(ISERROR(SEARCH("A",H203)))</formula>
    </cfRule>
  </conditionalFormatting>
  <conditionalFormatting sqref="H229:I230">
    <cfRule type="containsText" dxfId="663" priority="410" operator="containsText" text="C">
      <formula>NOT(ISERROR(SEARCH("C",H229)))</formula>
    </cfRule>
  </conditionalFormatting>
  <conditionalFormatting sqref="H267:I267">
    <cfRule type="containsText" dxfId="662" priority="229" operator="containsText" text="U/R">
      <formula>NOT(ISERROR(SEARCH("U/R",H267)))</formula>
    </cfRule>
  </conditionalFormatting>
  <conditionalFormatting sqref="H278:I281">
    <cfRule type="containsText" dxfId="661" priority="259" operator="containsText" text="B">
      <formula>NOT(ISERROR(SEARCH("B",H278)))</formula>
    </cfRule>
    <cfRule type="containsText" dxfId="660" priority="260" operator="containsText" text="A">
      <formula>NOT(ISERROR(SEARCH("A",H278)))</formula>
    </cfRule>
    <cfRule type="containsText" dxfId="659" priority="258" operator="containsText" text="C">
      <formula>NOT(ISERROR(SEARCH("C",H278)))</formula>
    </cfRule>
  </conditionalFormatting>
  <conditionalFormatting sqref="I63">
    <cfRule type="containsText" dxfId="658" priority="734" operator="containsText" text="C">
      <formula>NOT(ISERROR(SEARCH("C",I63)))</formula>
    </cfRule>
    <cfRule type="containsText" dxfId="657" priority="735" operator="containsText" text="B">
      <formula>NOT(ISERROR(SEARCH("B",I63)))</formula>
    </cfRule>
    <cfRule type="containsText" dxfId="656" priority="736" operator="containsText" text="A">
      <formula>NOT(ISERROR(SEARCH("A",I63)))</formula>
    </cfRule>
    <cfRule type="containsText" dxfId="655" priority="731" operator="containsText" text="B">
      <formula>NOT(ISERROR(SEARCH("B",I63)))</formula>
    </cfRule>
    <cfRule type="containsText" dxfId="654" priority="725" operator="containsText" text="U/R">
      <formula>NOT(ISERROR(SEARCH("U/R",I63)))</formula>
    </cfRule>
    <cfRule type="containsText" dxfId="653" priority="726" operator="containsText" text="C">
      <formula>NOT(ISERROR(SEARCH("C",I63)))</formula>
    </cfRule>
    <cfRule type="containsText" dxfId="652" priority="727" operator="containsText" text="B">
      <formula>NOT(ISERROR(SEARCH("B",I63)))</formula>
    </cfRule>
    <cfRule type="containsText" dxfId="651" priority="728" operator="containsText" text="A">
      <formula>NOT(ISERROR(SEARCH("A",I63)))</formula>
    </cfRule>
    <cfRule type="containsText" dxfId="650" priority="729" operator="containsText" text="U/R">
      <formula>NOT(ISERROR(SEARCH("U/R",I63)))</formula>
    </cfRule>
    <cfRule type="containsText" dxfId="649" priority="730" operator="containsText" text="C">
      <formula>NOT(ISERROR(SEARCH("C",I63)))</formula>
    </cfRule>
    <cfRule type="containsText" dxfId="648" priority="732" operator="containsText" text="A">
      <formula>NOT(ISERROR(SEARCH("A",I63)))</formula>
    </cfRule>
    <cfRule type="containsText" dxfId="647" priority="733" operator="containsText" text="U/R">
      <formula>NOT(ISERROR(SEARCH("U/R",I63)))</formula>
    </cfRule>
  </conditionalFormatting>
  <conditionalFormatting sqref="I74:I75">
    <cfRule type="containsText" dxfId="646" priority="1485" operator="containsText" text="B">
      <formula>NOT(ISERROR(SEARCH("B",I74)))</formula>
    </cfRule>
    <cfRule type="containsText" dxfId="645" priority="1486" operator="containsText" text="A">
      <formula>NOT(ISERROR(SEARCH("A",I74)))</formula>
    </cfRule>
    <cfRule type="containsText" dxfId="644" priority="1483" operator="containsText" text="U/R">
      <formula>NOT(ISERROR(SEARCH("U/R",I74)))</formula>
    </cfRule>
    <cfRule type="containsText" dxfId="643" priority="1482" operator="containsText" text="A">
      <formula>NOT(ISERROR(SEARCH("A",I74)))</formula>
    </cfRule>
    <cfRule type="containsText" dxfId="642" priority="1480" operator="containsText" text="C">
      <formula>NOT(ISERROR(SEARCH("C",I74)))</formula>
    </cfRule>
    <cfRule type="containsText" dxfId="641" priority="1481" operator="containsText" text="B">
      <formula>NOT(ISERROR(SEARCH("B",I74)))</formula>
    </cfRule>
    <cfRule type="containsText" dxfId="640" priority="1479" operator="containsText" text="U/R">
      <formula>NOT(ISERROR(SEARCH("U/R",I74)))</formula>
    </cfRule>
    <cfRule type="containsText" dxfId="639" priority="1484" operator="containsText" text="C">
      <formula>NOT(ISERROR(SEARCH("C",I74)))</formula>
    </cfRule>
  </conditionalFormatting>
  <conditionalFormatting sqref="I74:I76 K77:K79">
    <cfRule type="containsText" dxfId="638" priority="1490" operator="containsText" text="A">
      <formula>NOT(ISERROR(SEARCH("A",I74)))</formula>
    </cfRule>
    <cfRule type="containsText" dxfId="637" priority="1489" operator="containsText" text="B">
      <formula>NOT(ISERROR(SEARCH("B",I74)))</formula>
    </cfRule>
  </conditionalFormatting>
  <conditionalFormatting sqref="I74:I76">
    <cfRule type="containsText" dxfId="636" priority="1487" operator="containsText" text="U/R">
      <formula>NOT(ISERROR(SEARCH("U/R",I74)))</formula>
    </cfRule>
    <cfRule type="containsText" dxfId="635" priority="1488" operator="containsText" text="C">
      <formula>NOT(ISERROR(SEARCH("C",I74)))</formula>
    </cfRule>
  </conditionalFormatting>
  <conditionalFormatting sqref="I76">
    <cfRule type="containsText" dxfId="634" priority="1491" operator="containsText" text="U/R">
      <formula>NOT(ISERROR(SEARCH("U/R",I76)))</formula>
    </cfRule>
    <cfRule type="containsText" dxfId="633" priority="1492" operator="containsText" text="C">
      <formula>NOT(ISERROR(SEARCH("C",I76)))</formula>
    </cfRule>
    <cfRule type="containsText" dxfId="632" priority="1493" operator="containsText" text="B">
      <formula>NOT(ISERROR(SEARCH("B",I76)))</formula>
    </cfRule>
    <cfRule type="containsText" dxfId="631" priority="1494" operator="containsText" text="A">
      <formula>NOT(ISERROR(SEARCH("A",I76)))</formula>
    </cfRule>
    <cfRule type="containsText" dxfId="630" priority="1495" operator="containsText" text="U/R">
      <formula>NOT(ISERROR(SEARCH("U/R",I76)))</formula>
    </cfRule>
    <cfRule type="containsText" dxfId="629" priority="1496" operator="containsText" text="C">
      <formula>NOT(ISERROR(SEARCH("C",I76)))</formula>
    </cfRule>
    <cfRule type="containsText" dxfId="628" priority="1497" operator="containsText" text="B">
      <formula>NOT(ISERROR(SEARCH("B",I76)))</formula>
    </cfRule>
    <cfRule type="containsText" dxfId="627" priority="1498" operator="containsText" text="A">
      <formula>NOT(ISERROR(SEARCH("A",I76)))</formula>
    </cfRule>
  </conditionalFormatting>
  <conditionalFormatting sqref="I115:I116">
    <cfRule type="containsText" dxfId="626" priority="922" operator="containsText" text="A">
      <formula>NOT(ISERROR(SEARCH("A",I115)))</formula>
    </cfRule>
    <cfRule type="containsText" dxfId="625" priority="921" operator="containsText" text="B">
      <formula>NOT(ISERROR(SEARCH("B",I115)))</formula>
    </cfRule>
    <cfRule type="containsText" dxfId="624" priority="920" operator="containsText" text="C">
      <formula>NOT(ISERROR(SEARCH("C",I115)))</formula>
    </cfRule>
    <cfRule type="containsText" dxfId="623" priority="919" operator="containsText" text="U/R">
      <formula>NOT(ISERROR(SEARCH("U/R",I115)))</formula>
    </cfRule>
  </conditionalFormatting>
  <conditionalFormatting sqref="I131:I133">
    <cfRule type="containsText" dxfId="622" priority="618" operator="containsText" text="U/R">
      <formula>NOT(ISERROR(SEARCH("U/R",I131)))</formula>
    </cfRule>
    <cfRule type="containsText" dxfId="621" priority="619" operator="containsText" text="C">
      <formula>NOT(ISERROR(SEARCH("C",I131)))</formula>
    </cfRule>
    <cfRule type="containsText" dxfId="620" priority="621" operator="containsText" text="A">
      <formula>NOT(ISERROR(SEARCH("A",I131)))</formula>
    </cfRule>
    <cfRule type="containsText" dxfId="619" priority="620" operator="containsText" text="B">
      <formula>NOT(ISERROR(SEARCH("B",I131)))</formula>
    </cfRule>
  </conditionalFormatting>
  <conditionalFormatting sqref="I150:I156">
    <cfRule type="containsText" dxfId="618" priority="1107" operator="containsText" text="C">
      <formula>NOT(ISERROR(SEARCH("C",I150)))</formula>
    </cfRule>
    <cfRule type="containsText" dxfId="617" priority="1109" operator="containsText" text="A">
      <formula>NOT(ISERROR(SEARCH("A",I150)))</formula>
    </cfRule>
    <cfRule type="containsText" dxfId="616" priority="1108" operator="containsText" text="B">
      <formula>NOT(ISERROR(SEARCH("B",I150)))</formula>
    </cfRule>
    <cfRule type="containsText" dxfId="615" priority="1106" operator="containsText" text="U/R">
      <formula>NOT(ISERROR(SEARCH("U/R",I150)))</formula>
    </cfRule>
  </conditionalFormatting>
  <conditionalFormatting sqref="I158:I160">
    <cfRule type="containsText" dxfId="614" priority="1431" operator="containsText" text="C">
      <formula>NOT(ISERROR(SEARCH("C",I158)))</formula>
    </cfRule>
    <cfRule type="containsText" dxfId="613" priority="1432" operator="containsText" text="B">
      <formula>NOT(ISERROR(SEARCH("B",I158)))</formula>
    </cfRule>
    <cfRule type="containsText" dxfId="612" priority="1433" operator="containsText" text="A">
      <formula>NOT(ISERROR(SEARCH("A",I158)))</formula>
    </cfRule>
    <cfRule type="containsText" dxfId="611" priority="1430" operator="containsText" text="U/R">
      <formula>NOT(ISERROR(SEARCH("U/R",I158)))</formula>
    </cfRule>
  </conditionalFormatting>
  <conditionalFormatting sqref="I162:I164">
    <cfRule type="containsText" dxfId="610" priority="613" operator="containsText" text="A">
      <formula>NOT(ISERROR(SEARCH("A",I162)))</formula>
    </cfRule>
    <cfRule type="containsText" dxfId="609" priority="612" operator="containsText" text="B">
      <formula>NOT(ISERROR(SEARCH("B",I162)))</formula>
    </cfRule>
    <cfRule type="containsText" dxfId="608" priority="611" operator="containsText" text="C">
      <formula>NOT(ISERROR(SEARCH("C",I162)))</formula>
    </cfRule>
    <cfRule type="containsText" dxfId="607" priority="610" operator="containsText" text="U/R">
      <formula>NOT(ISERROR(SEARCH("U/R",I162)))</formula>
    </cfRule>
  </conditionalFormatting>
  <conditionalFormatting sqref="I180:I183">
    <cfRule type="containsText" dxfId="606" priority="814" operator="containsText" text="U/R">
      <formula>NOT(ISERROR(SEARCH("U/R",I180)))</formula>
    </cfRule>
    <cfRule type="containsText" dxfId="605" priority="815" operator="containsText" text="C">
      <formula>NOT(ISERROR(SEARCH("C",I180)))</formula>
    </cfRule>
    <cfRule type="containsText" dxfId="604" priority="816" operator="containsText" text="B">
      <formula>NOT(ISERROR(SEARCH("B",I180)))</formula>
    </cfRule>
    <cfRule type="containsText" dxfId="603" priority="817" operator="containsText" text="A">
      <formula>NOT(ISERROR(SEARCH("A",I180)))</formula>
    </cfRule>
  </conditionalFormatting>
  <conditionalFormatting sqref="I192:I194">
    <cfRule type="containsText" dxfId="602" priority="653" operator="containsText" text="A">
      <formula>NOT(ISERROR(SEARCH("A",I192)))</formula>
    </cfRule>
    <cfRule type="containsText" dxfId="601" priority="652" operator="containsText" text="B">
      <formula>NOT(ISERROR(SEARCH("B",I192)))</formula>
    </cfRule>
    <cfRule type="containsText" dxfId="600" priority="651" operator="containsText" text="C">
      <formula>NOT(ISERROR(SEARCH("C",I192)))</formula>
    </cfRule>
    <cfRule type="containsText" dxfId="599" priority="650" operator="containsText" text="U/R">
      <formula>NOT(ISERROR(SEARCH("U/R",I192)))</formula>
    </cfRule>
  </conditionalFormatting>
  <conditionalFormatting sqref="I197:I202">
    <cfRule type="containsText" dxfId="598" priority="759" operator="containsText" text="C">
      <formula>NOT(ISERROR(SEARCH("C",I197)))</formula>
    </cfRule>
    <cfRule type="containsText" dxfId="597" priority="761" operator="containsText" text="A">
      <formula>NOT(ISERROR(SEARCH("A",I197)))</formula>
    </cfRule>
    <cfRule type="containsText" dxfId="596" priority="760" operator="containsText" text="B">
      <formula>NOT(ISERROR(SEARCH("B",I197)))</formula>
    </cfRule>
    <cfRule type="containsText" dxfId="595" priority="758" operator="containsText" text="U/R">
      <formula>NOT(ISERROR(SEARCH("U/R",I197)))</formula>
    </cfRule>
  </conditionalFormatting>
  <conditionalFormatting sqref="I209:I212">
    <cfRule type="containsText" dxfId="594" priority="1196" operator="containsText" text="B">
      <formula>NOT(ISERROR(SEARCH("B",I209)))</formula>
    </cfRule>
    <cfRule type="containsText" dxfId="593" priority="1197" operator="containsText" text="A">
      <formula>NOT(ISERROR(SEARCH("A",I209)))</formula>
    </cfRule>
  </conditionalFormatting>
  <conditionalFormatting sqref="I215:I217">
    <cfRule type="containsText" dxfId="592" priority="625" operator="containsText" text="A">
      <formula>NOT(ISERROR(SEARCH("A",I215)))</formula>
    </cfRule>
    <cfRule type="containsText" dxfId="591" priority="623" operator="containsText" text="C">
      <formula>NOT(ISERROR(SEARCH("C",I215)))</formula>
    </cfRule>
    <cfRule type="containsText" dxfId="590" priority="622" operator="containsText" text="U/R">
      <formula>NOT(ISERROR(SEARCH("U/R",I215)))</formula>
    </cfRule>
    <cfRule type="containsText" dxfId="589" priority="624" operator="containsText" text="B">
      <formula>NOT(ISERROR(SEARCH("B",I215)))</formula>
    </cfRule>
  </conditionalFormatting>
  <conditionalFormatting sqref="I220:I227">
    <cfRule type="containsText" dxfId="588" priority="504" operator="containsText" text="B">
      <formula>NOT(ISERROR(SEARCH("B",I220)))</formula>
    </cfRule>
    <cfRule type="containsText" dxfId="587" priority="505" operator="containsText" text="A">
      <formula>NOT(ISERROR(SEARCH("A",I220)))</formula>
    </cfRule>
    <cfRule type="containsText" dxfId="586" priority="503" operator="containsText" text="C">
      <formula>NOT(ISERROR(SEARCH("C",I220)))</formula>
    </cfRule>
    <cfRule type="containsText" dxfId="585" priority="502" operator="containsText" text="U/R">
      <formula>NOT(ISERROR(SEARCH("U/R",I220)))</formula>
    </cfRule>
  </conditionalFormatting>
  <conditionalFormatting sqref="I229:I230">
    <cfRule type="containsText" dxfId="584" priority="417" operator="containsText" text="B">
      <formula>NOT(ISERROR(SEARCH("B",I229)))</formula>
    </cfRule>
    <cfRule type="containsText" dxfId="583" priority="418" operator="containsText" text="A">
      <formula>NOT(ISERROR(SEARCH("A",I229)))</formula>
    </cfRule>
  </conditionalFormatting>
  <conditionalFormatting sqref="I229:I231">
    <cfRule type="containsText" dxfId="582" priority="137" operator="containsText" text="U/R">
      <formula>NOT(ISERROR(SEARCH("U/R",I229)))</formula>
    </cfRule>
  </conditionalFormatting>
  <conditionalFormatting sqref="I231">
    <cfRule type="containsText" dxfId="581" priority="139" operator="containsText" text="B">
      <formula>NOT(ISERROR(SEARCH("B",I231)))</formula>
    </cfRule>
    <cfRule type="containsText" dxfId="580" priority="140" operator="containsText" text="A">
      <formula>NOT(ISERROR(SEARCH("A",I231)))</formula>
    </cfRule>
    <cfRule type="containsText" dxfId="579" priority="138" operator="containsText" text="C">
      <formula>NOT(ISERROR(SEARCH("C",I231)))</formula>
    </cfRule>
  </conditionalFormatting>
  <conditionalFormatting sqref="I233:I235">
    <cfRule type="containsText" dxfId="578" priority="446" operator="containsText" text="A">
      <formula>NOT(ISERROR(SEARCH("A",I233)))</formula>
    </cfRule>
    <cfRule type="containsText" dxfId="577" priority="445" operator="containsText" text="B">
      <formula>NOT(ISERROR(SEARCH("B",I233)))</formula>
    </cfRule>
    <cfRule type="containsText" dxfId="576" priority="443" operator="containsText" text="U/R">
      <formula>NOT(ISERROR(SEARCH("U/R",I233)))</formula>
    </cfRule>
    <cfRule type="containsText" dxfId="575" priority="444" operator="containsText" text="C">
      <formula>NOT(ISERROR(SEARCH("C",I233)))</formula>
    </cfRule>
  </conditionalFormatting>
  <conditionalFormatting sqref="I238:I242">
    <cfRule type="containsText" dxfId="574" priority="453" operator="containsText" text="B">
      <formula>NOT(ISERROR(SEARCH("B",I238)))</formula>
    </cfRule>
    <cfRule type="containsText" dxfId="573" priority="454" operator="containsText" text="A">
      <formula>NOT(ISERROR(SEARCH("A",I238)))</formula>
    </cfRule>
    <cfRule type="containsText" dxfId="572" priority="452" operator="containsText" text="C">
      <formula>NOT(ISERROR(SEARCH("C",I238)))</formula>
    </cfRule>
    <cfRule type="containsText" dxfId="571" priority="451" operator="containsText" text="U/R">
      <formula>NOT(ISERROR(SEARCH("U/R",I238)))</formula>
    </cfRule>
  </conditionalFormatting>
  <conditionalFormatting sqref="I253:I255">
    <cfRule type="containsText" dxfId="570" priority="237" operator="containsText" text="U/R">
      <formula>NOT(ISERROR(SEARCH("U/R",I253)))</formula>
    </cfRule>
    <cfRule type="containsText" dxfId="569" priority="240" operator="containsText" text="A">
      <formula>NOT(ISERROR(SEARCH("A",I253)))</formula>
    </cfRule>
    <cfRule type="containsText" dxfId="568" priority="238" operator="containsText" text="C">
      <formula>NOT(ISERROR(SEARCH("C",I253)))</formula>
    </cfRule>
    <cfRule type="containsText" dxfId="567" priority="239" operator="containsText" text="B">
      <formula>NOT(ISERROR(SEARCH("B",I253)))</formula>
    </cfRule>
  </conditionalFormatting>
  <conditionalFormatting sqref="I258:I265">
    <cfRule type="containsText" dxfId="566" priority="280" operator="containsText" text="A">
      <formula>NOT(ISERROR(SEARCH("A",I258)))</formula>
    </cfRule>
    <cfRule type="containsText" dxfId="565" priority="278" operator="containsText" text="C">
      <formula>NOT(ISERROR(SEARCH("C",I258)))</formula>
    </cfRule>
    <cfRule type="containsText" dxfId="564" priority="279" operator="containsText" text="B">
      <formula>NOT(ISERROR(SEARCH("B",I258)))</formula>
    </cfRule>
    <cfRule type="containsText" dxfId="563" priority="277" operator="containsText" text="U/R">
      <formula>NOT(ISERROR(SEARCH("U/R",I258)))</formula>
    </cfRule>
  </conditionalFormatting>
  <conditionalFormatting sqref="I267">
    <cfRule type="containsText" dxfId="562" priority="231" operator="containsText" text="B">
      <formula>NOT(ISERROR(SEARCH("B",I267)))</formula>
    </cfRule>
    <cfRule type="containsText" dxfId="561" priority="230" operator="containsText" text="C">
      <formula>NOT(ISERROR(SEARCH("C",I267)))</formula>
    </cfRule>
    <cfRule type="containsText" dxfId="560" priority="232" operator="containsText" text="A">
      <formula>NOT(ISERROR(SEARCH("A",I267)))</formula>
    </cfRule>
  </conditionalFormatting>
  <conditionalFormatting sqref="I271:I273">
    <cfRule type="containsText" dxfId="559" priority="255" operator="containsText" text="B">
      <formula>NOT(ISERROR(SEARCH("B",I271)))</formula>
    </cfRule>
    <cfRule type="containsText" dxfId="558" priority="254" operator="containsText" text="C">
      <formula>NOT(ISERROR(SEARCH("C",I271)))</formula>
    </cfRule>
    <cfRule type="containsText" dxfId="557" priority="256" operator="containsText" text="A">
      <formula>NOT(ISERROR(SEARCH("A",I271)))</formula>
    </cfRule>
    <cfRule type="containsText" dxfId="556" priority="253" operator="containsText" text="U/R">
      <formula>NOT(ISERROR(SEARCH("U/R",I271)))</formula>
    </cfRule>
  </conditionalFormatting>
  <conditionalFormatting sqref="I276:I277">
    <cfRule type="containsText" dxfId="555" priority="210" operator="containsText" text="C">
      <formula>NOT(ISERROR(SEARCH("C",I276)))</formula>
    </cfRule>
    <cfRule type="containsText" dxfId="554" priority="211" operator="containsText" text="B">
      <formula>NOT(ISERROR(SEARCH("B",I276)))</formula>
    </cfRule>
    <cfRule type="containsText" dxfId="553" priority="212" operator="containsText" text="A">
      <formula>NOT(ISERROR(SEARCH("A",I276)))</formula>
    </cfRule>
  </conditionalFormatting>
  <conditionalFormatting sqref="I276:I281">
    <cfRule type="containsText" dxfId="552" priority="209" operator="containsText" text="U/R">
      <formula>NOT(ISERROR(SEARCH("U/R",I276)))</formula>
    </cfRule>
  </conditionalFormatting>
  <conditionalFormatting sqref="I283">
    <cfRule type="containsText" dxfId="551" priority="203" operator="containsText" text="B">
      <formula>NOT(ISERROR(SEARCH("B",I283)))</formula>
    </cfRule>
    <cfRule type="containsText" dxfId="550" priority="202" operator="containsText" text="C">
      <formula>NOT(ISERROR(SEARCH("C",I283)))</formula>
    </cfRule>
    <cfRule type="containsText" dxfId="549" priority="204" operator="containsText" text="A">
      <formula>NOT(ISERROR(SEARCH("A",I283)))</formula>
    </cfRule>
  </conditionalFormatting>
  <conditionalFormatting sqref="I286">
    <cfRule type="containsText" dxfId="548" priority="270" operator="containsText" text="C">
      <formula>NOT(ISERROR(SEARCH("C",I286)))</formula>
    </cfRule>
    <cfRule type="containsText" dxfId="547" priority="269" operator="containsText" text="U/R">
      <formula>NOT(ISERROR(SEARCH("U/R",I286)))</formula>
    </cfRule>
    <cfRule type="containsText" dxfId="546" priority="271" operator="containsText" text="B">
      <formula>NOT(ISERROR(SEARCH("B",I286)))</formula>
    </cfRule>
    <cfRule type="containsText" dxfId="545" priority="272" operator="containsText" text="A">
      <formula>NOT(ISERROR(SEARCH("A",I286)))</formula>
    </cfRule>
  </conditionalFormatting>
  <conditionalFormatting sqref="I136:J142">
    <cfRule type="containsText" dxfId="544" priority="1102" operator="containsText" text="U/R">
      <formula>NOT(ISERROR(SEARCH("U/R",I136)))</formula>
    </cfRule>
    <cfRule type="containsText" dxfId="543" priority="1104" operator="containsText" text="B">
      <formula>NOT(ISERROR(SEARCH("B",I136)))</formula>
    </cfRule>
    <cfRule type="containsText" dxfId="542" priority="1103" operator="containsText" text="C">
      <formula>NOT(ISERROR(SEARCH("C",I136)))</formula>
    </cfRule>
    <cfRule type="containsText" dxfId="541" priority="1105" operator="containsText" text="A">
      <formula>NOT(ISERROR(SEARCH("A",I136)))</formula>
    </cfRule>
  </conditionalFormatting>
  <conditionalFormatting sqref="I176:J177">
    <cfRule type="containsText" dxfId="540" priority="1408" operator="containsText" text="B">
      <formula>NOT(ISERROR(SEARCH("B",I176)))</formula>
    </cfRule>
    <cfRule type="containsText" dxfId="539" priority="1409" operator="containsText" text="A">
      <formula>NOT(ISERROR(SEARCH("A",I176)))</formula>
    </cfRule>
    <cfRule type="containsText" dxfId="538" priority="1406" operator="containsText" text="U/R">
      <formula>NOT(ISERROR(SEARCH("U/R",I176)))</formula>
    </cfRule>
    <cfRule type="containsText" dxfId="537" priority="1407" operator="containsText" text="C">
      <formula>NOT(ISERROR(SEARCH("C",I176)))</formula>
    </cfRule>
  </conditionalFormatting>
  <conditionalFormatting sqref="I175:K175">
    <cfRule type="containsText" dxfId="536" priority="1161" operator="containsText" text="A">
      <formula>NOT(ISERROR(SEARCH("A",I175)))</formula>
    </cfRule>
    <cfRule type="containsText" dxfId="535" priority="1158" operator="containsText" text="U/R">
      <formula>NOT(ISERROR(SEARCH("U/R",I175)))</formula>
    </cfRule>
    <cfRule type="containsText" dxfId="534" priority="1159" operator="containsText" text="C">
      <formula>NOT(ISERROR(SEARCH("C",I175)))</formula>
    </cfRule>
    <cfRule type="containsText" dxfId="533" priority="1160" operator="containsText" text="B">
      <formula>NOT(ISERROR(SEARCH("B",I175)))</formula>
    </cfRule>
  </conditionalFormatting>
  <conditionalFormatting sqref="I268:K268">
    <cfRule type="containsText" dxfId="532" priority="182" operator="containsText" text="A">
      <formula>NOT(ISERROR(SEARCH("A",I268)))</formula>
    </cfRule>
    <cfRule type="containsText" dxfId="531" priority="181" operator="containsText" text="B">
      <formula>NOT(ISERROR(SEARCH("B",I268)))</formula>
    </cfRule>
    <cfRule type="containsText" dxfId="530" priority="180" operator="containsText" text="C">
      <formula>NOT(ISERROR(SEARCH("C",I268)))</formula>
    </cfRule>
  </conditionalFormatting>
  <conditionalFormatting sqref="I60:L62">
    <cfRule type="containsText" dxfId="529" priority="749" operator="containsText" text="A">
      <formula>NOT(ISERROR(SEARCH("A",I60)))</formula>
    </cfRule>
    <cfRule type="containsText" dxfId="528" priority="748" operator="containsText" text="B">
      <formula>NOT(ISERROR(SEARCH("B",I60)))</formula>
    </cfRule>
    <cfRule type="containsText" dxfId="527" priority="747" operator="containsText" text="C">
      <formula>NOT(ISERROR(SEARCH("C",I60)))</formula>
    </cfRule>
    <cfRule type="containsText" dxfId="526" priority="746" operator="containsText" text="U/R">
      <formula>NOT(ISERROR(SEARCH("U/R",I60)))</formula>
    </cfRule>
  </conditionalFormatting>
  <conditionalFormatting sqref="I190:L190">
    <cfRule type="containsText" dxfId="525" priority="1141" operator="containsText" text="A">
      <formula>NOT(ISERROR(SEARCH("A",I190)))</formula>
    </cfRule>
    <cfRule type="containsText" dxfId="524" priority="1138" operator="containsText" text="U/R">
      <formula>NOT(ISERROR(SEARCH("U/R",I190)))</formula>
    </cfRule>
    <cfRule type="containsText" dxfId="523" priority="1140" operator="containsText" text="B">
      <formula>NOT(ISERROR(SEARCH("B",I190)))</formula>
    </cfRule>
    <cfRule type="containsText" dxfId="522" priority="1139" operator="containsText" text="C">
      <formula>NOT(ISERROR(SEARCH("C",I190)))</formula>
    </cfRule>
  </conditionalFormatting>
  <conditionalFormatting sqref="I268:L268">
    <cfRule type="containsText" dxfId="521" priority="172" operator="containsText" text="U/R">
      <formula>NOT(ISERROR(SEARCH("U/R",I268)))</formula>
    </cfRule>
  </conditionalFormatting>
  <conditionalFormatting sqref="I102:M108 I119:M125 L175:M177">
    <cfRule type="containsText" dxfId="520" priority="1660" operator="containsText" text="A">
      <formula>NOT(ISERROR(SEARCH("A",I102)))</formula>
    </cfRule>
    <cfRule type="containsText" dxfId="519" priority="1658" operator="containsText" text="C">
      <formula>NOT(ISERROR(SEARCH("C",I102)))</formula>
    </cfRule>
    <cfRule type="containsText" dxfId="518" priority="1659" operator="containsText" text="B">
      <formula>NOT(ISERROR(SEARCH("B",I102)))</formula>
    </cfRule>
    <cfRule type="containsText" dxfId="517" priority="1657" operator="containsText" text="U/R">
      <formula>NOT(ISERROR(SEARCH("U/R",I102)))</formula>
    </cfRule>
  </conditionalFormatting>
  <conditionalFormatting sqref="I110:M110 I111 I112:M112 I113 J115:M115 J117:M117">
    <cfRule type="containsText" dxfId="516" priority="1616" operator="containsText" text="A">
      <formula>NOT(ISERROR(SEARCH("A",I110)))</formula>
    </cfRule>
    <cfRule type="containsText" dxfId="515" priority="1613" operator="containsText" text="U/R">
      <formula>NOT(ISERROR(SEARCH("U/R",I110)))</formula>
    </cfRule>
    <cfRule type="containsText" dxfId="514" priority="1614" operator="containsText" text="C">
      <formula>NOT(ISERROR(SEARCH("C",I110)))</formula>
    </cfRule>
    <cfRule type="containsText" dxfId="513" priority="1615" operator="containsText" text="B">
      <formula>NOT(ISERROR(SEARCH("B",I110)))</formula>
    </cfRule>
  </conditionalFormatting>
  <conditionalFormatting sqref="I127:M127 K128:M128 I128:I129 L129:M129 L144:M146 I144:I147 K147:M147">
    <cfRule type="containsText" dxfId="512" priority="1571" operator="containsText" text="B">
      <formula>NOT(ISERROR(SEARCH("B",I127)))</formula>
    </cfRule>
    <cfRule type="containsText" dxfId="511" priority="1570" operator="containsText" text="C">
      <formula>NOT(ISERROR(SEARCH("C",I127)))</formula>
    </cfRule>
    <cfRule type="containsText" dxfId="510" priority="1569" operator="containsText" text="U/R">
      <formula>NOT(ISERROR(SEARCH("U/R",I127)))</formula>
    </cfRule>
    <cfRule type="containsText" dxfId="509" priority="1572" operator="containsText" text="A">
      <formula>NOT(ISERROR(SEARCH("A",I127)))</formula>
    </cfRule>
  </conditionalFormatting>
  <conditionalFormatting sqref="J36 J27:M27">
    <cfRule type="containsText" dxfId="508" priority="1788" operator="containsText" text="U/R">
      <formula>NOT(ISERROR(SEARCH("U/R",J27)))</formula>
    </cfRule>
  </conditionalFormatting>
  <conditionalFormatting sqref="J162:K162 M162:M164">
    <cfRule type="containsText" dxfId="507" priority="682" operator="containsText" text="A">
      <formula>NOT(ISERROR(SEARCH("A",J162)))</formula>
    </cfRule>
    <cfRule type="containsText" dxfId="506" priority="680" operator="containsText" text="C">
      <formula>NOT(ISERROR(SEARCH("C",J162)))</formula>
    </cfRule>
    <cfRule type="containsText" dxfId="505" priority="681" operator="containsText" text="B">
      <formula>NOT(ISERROR(SEARCH("B",J162)))</formula>
    </cfRule>
  </conditionalFormatting>
  <conditionalFormatting sqref="J162:K162">
    <cfRule type="containsText" dxfId="504" priority="679" operator="containsText" text="U/R">
      <formula>NOT(ISERROR(SEARCH("U/R",J162)))</formula>
    </cfRule>
  </conditionalFormatting>
  <conditionalFormatting sqref="J230:K230">
    <cfRule type="containsText" dxfId="503" priority="190" operator="containsText" text="B">
      <formula>NOT(ISERROR(SEARCH("B",J230)))</formula>
    </cfRule>
    <cfRule type="containsText" dxfId="502" priority="191" operator="containsText" text="C">
      <formula>NOT(ISERROR(SEARCH("C",J230)))</formula>
    </cfRule>
    <cfRule type="containsText" dxfId="501" priority="193" operator="containsText" text="A">
      <formula>NOT(ISERROR(SEARCH("A",J230)))</formula>
    </cfRule>
    <cfRule type="containsText" dxfId="500" priority="192" operator="containsText" text="B">
      <formula>NOT(ISERROR(SEARCH("B",J230)))</formula>
    </cfRule>
    <cfRule type="containsText" dxfId="499" priority="189" operator="containsText" text="C">
      <formula>NOT(ISERROR(SEARCH("C",J230)))</formula>
    </cfRule>
  </conditionalFormatting>
  <conditionalFormatting sqref="J268:K268">
    <cfRule type="containsText" dxfId="498" priority="178" operator="containsText" text="C">
      <formula>NOT(ISERROR(SEARCH("C",J268)))</formula>
    </cfRule>
    <cfRule type="containsText" dxfId="497" priority="179" operator="containsText" text="B">
      <formula>NOT(ISERROR(SEARCH("B",J268)))</formula>
    </cfRule>
  </conditionalFormatting>
  <conditionalFormatting sqref="J283:K283">
    <cfRule type="containsText" dxfId="496" priority="167" operator="containsText" text="C">
      <formula>NOT(ISERROR(SEARCH("C",J283)))</formula>
    </cfRule>
    <cfRule type="containsText" dxfId="495" priority="168" operator="containsText" text="B">
      <formula>NOT(ISERROR(SEARCH("B",J283)))</formula>
    </cfRule>
    <cfRule type="containsText" dxfId="494" priority="171" operator="containsText" text="A">
      <formula>NOT(ISERROR(SEARCH("A",J283)))</formula>
    </cfRule>
    <cfRule type="containsText" dxfId="493" priority="170" operator="containsText" text="B">
      <formula>NOT(ISERROR(SEARCH("B",J283)))</formula>
    </cfRule>
    <cfRule type="containsText" dxfId="492" priority="169" operator="containsText" text="C">
      <formula>NOT(ISERROR(SEARCH("C",J283)))</formula>
    </cfRule>
  </conditionalFormatting>
  <conditionalFormatting sqref="J37:L37">
    <cfRule type="containsText" dxfId="491" priority="1960" operator="containsText" text="B">
      <formula>NOT(ISERROR(SEARCH("B",J37)))</formula>
    </cfRule>
    <cfRule type="containsText" dxfId="490" priority="1958" operator="containsText" text="U/R">
      <formula>NOT(ISERROR(SEARCH("U/R",J37)))</formula>
    </cfRule>
    <cfRule type="containsText" dxfId="489" priority="1961" operator="containsText" text="A">
      <formula>NOT(ISERROR(SEARCH("A",J37)))</formula>
    </cfRule>
  </conditionalFormatting>
  <conditionalFormatting sqref="J93:L95">
    <cfRule type="containsText" dxfId="488" priority="779" operator="containsText" text="C">
      <formula>NOT(ISERROR(SEARCH("C",J93)))</formula>
    </cfRule>
    <cfRule type="containsText" dxfId="487" priority="780" operator="containsText" text="B">
      <formula>NOT(ISERROR(SEARCH("B",J93)))</formula>
    </cfRule>
    <cfRule type="containsText" dxfId="486" priority="781" operator="containsText" text="A">
      <formula>NOT(ISERROR(SEARCH("A",J93)))</formula>
    </cfRule>
    <cfRule type="containsText" dxfId="485" priority="778" operator="containsText" text="U/R">
      <formula>NOT(ISERROR(SEARCH("U/R",J93)))</formula>
    </cfRule>
  </conditionalFormatting>
  <conditionalFormatting sqref="J209:L209">
    <cfRule type="containsText" dxfId="484" priority="1164" operator="containsText" text="B">
      <formula>NOT(ISERROR(SEARCH("B",J209)))</formula>
    </cfRule>
    <cfRule type="containsText" dxfId="483" priority="1163" operator="containsText" text="C">
      <formula>NOT(ISERROR(SEARCH("C",J209)))</formula>
    </cfRule>
    <cfRule type="containsText" dxfId="482" priority="1162" operator="containsText" text="U/R">
      <formula>NOT(ISERROR(SEARCH("U/R",J209)))</formula>
    </cfRule>
    <cfRule type="containsText" dxfId="481" priority="1165" operator="containsText" text="A">
      <formula>NOT(ISERROR(SEARCH("A",J209)))</formula>
    </cfRule>
  </conditionalFormatting>
  <conditionalFormatting sqref="J230:L230">
    <cfRule type="containsText" dxfId="480" priority="183" operator="containsText" text="U/R">
      <formula>NOT(ISERROR(SEARCH("U/R",J230)))</formula>
    </cfRule>
    <cfRule type="containsText" dxfId="479" priority="186" operator="containsText" text="A">
      <formula>NOT(ISERROR(SEARCH("A",J230)))</formula>
    </cfRule>
  </conditionalFormatting>
  <conditionalFormatting sqref="J268:L268">
    <cfRule type="containsText" dxfId="478" priority="175" operator="containsText" text="A">
      <formula>NOT(ISERROR(SEARCH("A",J268)))</formula>
    </cfRule>
  </conditionalFormatting>
  <conditionalFormatting sqref="J283:L283">
    <cfRule type="containsText" dxfId="477" priority="157" operator="containsText" text="U/R">
      <formula>NOT(ISERROR(SEARCH("U/R",J283)))</formula>
    </cfRule>
    <cfRule type="containsText" dxfId="476" priority="160" operator="containsText" text="A">
      <formula>NOT(ISERROR(SEARCH("A",J283)))</formula>
    </cfRule>
  </conditionalFormatting>
  <conditionalFormatting sqref="J27:M27">
    <cfRule type="containsText" dxfId="475" priority="1791" operator="containsText" text="A">
      <formula>NOT(ISERROR(SEARCH("A",J27)))</formula>
    </cfRule>
    <cfRule type="containsText" dxfId="474" priority="1790" operator="containsText" text="B">
      <formula>NOT(ISERROR(SEARCH("B",J27)))</formula>
    </cfRule>
    <cfRule type="containsText" dxfId="473" priority="1789" operator="containsText" text="C">
      <formula>NOT(ISERROR(SEARCH("C",J27)))</formula>
    </cfRule>
  </conditionalFormatting>
  <conditionalFormatting sqref="J46:M46">
    <cfRule type="containsText" dxfId="472" priority="1732" operator="containsText" text="C">
      <formula>NOT(ISERROR(SEARCH("C",J46)))</formula>
    </cfRule>
    <cfRule type="containsText" dxfId="471" priority="1733" operator="containsText" text="B">
      <formula>NOT(ISERROR(SEARCH("B",J46)))</formula>
    </cfRule>
    <cfRule type="containsText" dxfId="470" priority="1734" operator="containsText" text="A">
      <formula>NOT(ISERROR(SEARCH("A",J46)))</formula>
    </cfRule>
    <cfRule type="containsText" dxfId="469" priority="1731" operator="containsText" text="U/R">
      <formula>NOT(ISERROR(SEARCH("U/R",J46)))</formula>
    </cfRule>
  </conditionalFormatting>
  <conditionalFormatting sqref="J96:M97">
    <cfRule type="containsText" dxfId="468" priority="769" operator="containsText" text="A">
      <formula>NOT(ISERROR(SEARCH("A",J96)))</formula>
    </cfRule>
    <cfRule type="containsText" dxfId="467" priority="767" operator="containsText" text="C">
      <formula>NOT(ISERROR(SEARCH("C",J96)))</formula>
    </cfRule>
    <cfRule type="containsText" dxfId="466" priority="768" operator="containsText" text="B">
      <formula>NOT(ISERROR(SEARCH("B",J96)))</formula>
    </cfRule>
    <cfRule type="containsText" dxfId="465" priority="766" operator="containsText" text="U/R">
      <formula>NOT(ISERROR(SEARCH("U/R",J96)))</formula>
    </cfRule>
  </conditionalFormatting>
  <conditionalFormatting sqref="J134:M134">
    <cfRule type="containsText" dxfId="464" priority="1458" operator="containsText" text="U/R">
      <formula>NOT(ISERROR(SEARCH("U/R",J134)))</formula>
    </cfRule>
    <cfRule type="containsText" dxfId="463" priority="1459" operator="containsText" text="C">
      <formula>NOT(ISERROR(SEARCH("C",J134)))</formula>
    </cfRule>
    <cfRule type="containsText" dxfId="462" priority="1461" operator="containsText" text="A">
      <formula>NOT(ISERROR(SEARCH("A",J134)))</formula>
    </cfRule>
    <cfRule type="containsText" dxfId="461" priority="1460" operator="containsText" text="B">
      <formula>NOT(ISERROR(SEARCH("B",J134)))</formula>
    </cfRule>
  </conditionalFormatting>
  <conditionalFormatting sqref="J37:Q37">
    <cfRule type="containsText" dxfId="460" priority="1959" operator="containsText" text="C">
      <formula>NOT(ISERROR(SEARCH("C",J37)))</formula>
    </cfRule>
  </conditionalFormatting>
  <conditionalFormatting sqref="J54:T54 J143:T143 J157:T157 J174:T174 J189:T189 J208:T208">
    <cfRule type="containsText" dxfId="459" priority="1042" operator="containsText" text="A">
      <formula>NOT(ISERROR(SEARCH("A",J54)))</formula>
    </cfRule>
    <cfRule type="containsText" dxfId="458" priority="1041" operator="containsText" text="B">
      <formula>NOT(ISERROR(SEARCH("B",J54)))</formula>
    </cfRule>
  </conditionalFormatting>
  <conditionalFormatting sqref="J73:T73">
    <cfRule type="containsText" dxfId="457" priority="1019" operator="containsText" text="C">
      <formula>NOT(ISERROR(SEARCH("C",J73)))</formula>
    </cfRule>
    <cfRule type="containsText" dxfId="456" priority="1020" operator="containsText" text="B">
      <formula>NOT(ISERROR(SEARCH("B",J73)))</formula>
    </cfRule>
    <cfRule type="containsText" dxfId="455" priority="1021" operator="containsText" text="A">
      <formula>NOT(ISERROR(SEARCH("A",J73)))</formula>
    </cfRule>
  </conditionalFormatting>
  <conditionalFormatting sqref="J83:T89 J81:T81">
    <cfRule type="containsText" dxfId="454" priority="1529" operator="containsText" text="U/R">
      <formula>NOT(ISERROR(SEARCH("U/R",J81)))</formula>
    </cfRule>
  </conditionalFormatting>
  <conditionalFormatting sqref="J83:T89">
    <cfRule type="containsText" dxfId="453" priority="1527" operator="containsText" text="B">
      <formula>NOT(ISERROR(SEARCH("B",J83)))</formula>
    </cfRule>
    <cfRule type="containsText" dxfId="452" priority="1526" operator="containsText" text="C">
      <formula>NOT(ISERROR(SEARCH("C",J83)))</formula>
    </cfRule>
    <cfRule type="containsText" dxfId="451" priority="1528" operator="containsText" text="A">
      <formula>NOT(ISERROR(SEARCH("A",J83)))</formula>
    </cfRule>
  </conditionalFormatting>
  <conditionalFormatting sqref="J90:T90">
    <cfRule type="containsText" dxfId="450" priority="1507" operator="containsText" text="U/R">
      <formula>NOT(ISERROR(SEARCH("U/R",J90)))</formula>
    </cfRule>
    <cfRule type="containsText" dxfId="449" priority="1510" operator="containsText" text="A">
      <formula>NOT(ISERROR(SEARCH("A",J90)))</formula>
    </cfRule>
    <cfRule type="containsText" dxfId="448" priority="1509" operator="containsText" text="B">
      <formula>NOT(ISERROR(SEARCH("B",J90)))</formula>
    </cfRule>
  </conditionalFormatting>
  <conditionalFormatting sqref="J90:T91">
    <cfRule type="containsText" dxfId="447" priority="1508" operator="containsText" text="C">
      <formula>NOT(ISERROR(SEARCH("C",J90)))</formula>
    </cfRule>
  </conditionalFormatting>
  <conditionalFormatting sqref="J91:T91 M100 M102:T108 J109:T109 M119:T125 J126:T126 M175:T177 J72:M72 D11 D288:D1048576">
    <cfRule type="containsText" dxfId="446" priority="2822" operator="containsText" text="U/R">
      <formula>NOT(ISERROR(SEARCH("U/R",D11)))</formula>
    </cfRule>
  </conditionalFormatting>
  <conditionalFormatting sqref="J98:T98">
    <cfRule type="containsText" dxfId="445" priority="559" operator="containsText" text="B">
      <formula>NOT(ISERROR(SEARCH("B",J98)))</formula>
    </cfRule>
    <cfRule type="containsText" dxfId="444" priority="561" operator="containsText" text="U/R">
      <formula>NOT(ISERROR(SEARCH("U/R",J98)))</formula>
    </cfRule>
    <cfRule type="containsText" dxfId="443" priority="558" operator="containsText" text="C">
      <formula>NOT(ISERROR(SEARCH("C",J98)))</formula>
    </cfRule>
    <cfRule type="containsText" dxfId="442" priority="560" operator="containsText" text="A">
      <formula>NOT(ISERROR(SEARCH("A",J98)))</formula>
    </cfRule>
  </conditionalFormatting>
  <conditionalFormatting sqref="J136:T142">
    <cfRule type="containsText" dxfId="441" priority="1474" operator="containsText" text="U/R">
      <formula>NOT(ISERROR(SEARCH("U/R",J136)))</formula>
    </cfRule>
  </conditionalFormatting>
  <conditionalFormatting sqref="J157:T157 J174:T174 J189:T189 J208:T208 J54:T54 J143:T143">
    <cfRule type="containsText" dxfId="440" priority="1040" operator="containsText" text="C">
      <formula>NOT(ISERROR(SEARCH("C",J54)))</formula>
    </cfRule>
  </conditionalFormatting>
  <conditionalFormatting sqref="K42 N42 Q42 T42 N59:N62 Q59:Q62 T59:T62">
    <cfRule type="containsText" dxfId="439" priority="1031" operator="containsText" text="U/R">
      <formula>NOT(ISERROR(SEARCH("U/R",K42)))</formula>
    </cfRule>
  </conditionalFormatting>
  <conditionalFormatting sqref="K42 N42 Q42 T42">
    <cfRule type="containsText" dxfId="438" priority="1028" operator="containsText" text="C">
      <formula>NOT(ISERROR(SEARCH("C",K42)))</formula>
    </cfRule>
    <cfRule type="containsText" dxfId="437" priority="1029" operator="containsText" text="B">
      <formula>NOT(ISERROR(SEARCH("B",K42)))</formula>
    </cfRule>
    <cfRule type="containsText" dxfId="436" priority="1030" operator="containsText" text="A">
      <formula>NOT(ISERROR(SEARCH("A",K42)))</formula>
    </cfRule>
  </conditionalFormatting>
  <conditionalFormatting sqref="K59 D48:D53">
    <cfRule type="containsText" dxfId="435" priority="1719" operator="containsText" text="U/R">
      <formula>NOT(ISERROR(SEARCH("U/R",D48)))</formula>
    </cfRule>
  </conditionalFormatting>
  <conditionalFormatting sqref="K59 N190:N207 Q190:Q207 T190:T207 K191:K197 K200:K207 G30:T34 V29:V41 N209:N287 Q209:Q287 T209:T287 K210:K287">
    <cfRule type="containsText" dxfId="434" priority="1335" operator="containsText" text="A">
      <formula>NOT(ISERROR(SEARCH("A",G29)))</formula>
    </cfRule>
  </conditionalFormatting>
  <conditionalFormatting sqref="K77:K80">
    <cfRule type="containsText" dxfId="433" priority="892" operator="containsText" text="C">
      <formula>NOT(ISERROR(SEARCH("C",K77)))</formula>
    </cfRule>
    <cfRule type="containsText" dxfId="432" priority="891" operator="containsText" text="U/R">
      <formula>NOT(ISERROR(SEARCH("U/R",K77)))</formula>
    </cfRule>
  </conditionalFormatting>
  <conditionalFormatting sqref="K80">
    <cfRule type="containsText" dxfId="431" priority="890" operator="containsText" text="A">
      <formula>NOT(ISERROR(SEARCH("A",K80)))</formula>
    </cfRule>
    <cfRule type="containsText" dxfId="430" priority="889" operator="containsText" text="B">
      <formula>NOT(ISERROR(SEARCH("B",K80)))</formula>
    </cfRule>
  </conditionalFormatting>
  <conditionalFormatting sqref="K114 N114 Q114 T114">
    <cfRule type="containsText" dxfId="429" priority="927" operator="containsText" text="U/R">
      <formula>NOT(ISERROR(SEARCH("U/R",K114)))</formula>
    </cfRule>
  </conditionalFormatting>
  <conditionalFormatting sqref="K114">
    <cfRule type="containsText" dxfId="428" priority="932" operator="containsText" text="C">
      <formula>NOT(ISERROR(SEARCH("C",K114)))</formula>
    </cfRule>
    <cfRule type="containsText" dxfId="427" priority="933" operator="containsText" text="B">
      <formula>NOT(ISERROR(SEARCH("B",K114)))</formula>
    </cfRule>
    <cfRule type="containsText" dxfId="426" priority="934" operator="containsText" text="A">
      <formula>NOT(ISERROR(SEARCH("A",K114)))</formula>
    </cfRule>
  </conditionalFormatting>
  <conditionalFormatting sqref="K118 N118 Q118 T118 K135 N135 Q135 T135">
    <cfRule type="containsText" dxfId="425" priority="1071" operator="containsText" text="A">
      <formula>NOT(ISERROR(SEARCH("A",K118)))</formula>
    </cfRule>
    <cfRule type="containsText" dxfId="424" priority="1070" operator="containsText" text="B">
      <formula>NOT(ISERROR(SEARCH("B",K118)))</formula>
    </cfRule>
    <cfRule type="containsText" dxfId="423" priority="1069" operator="containsText" text="C">
      <formula>NOT(ISERROR(SEARCH("C",K118)))</formula>
    </cfRule>
    <cfRule type="containsText" dxfId="422" priority="1068" operator="containsText" text="U/R">
      <formula>NOT(ISERROR(SEARCH("U/R",K118)))</formula>
    </cfRule>
  </conditionalFormatting>
  <conditionalFormatting sqref="K130 N130 Q130 T130">
    <cfRule type="containsText" dxfId="421" priority="696" operator="containsText" text="U/R">
      <formula>NOT(ISERROR(SEARCH("U/R",K130)))</formula>
    </cfRule>
  </conditionalFormatting>
  <conditionalFormatting sqref="K130">
    <cfRule type="containsText" dxfId="420" priority="699" operator="containsText" text="A">
      <formula>NOT(ISERROR(SEARCH("A",K130)))</formula>
    </cfRule>
    <cfRule type="containsText" dxfId="419" priority="698" operator="containsText" text="B">
      <formula>NOT(ISERROR(SEARCH("B",K130)))</formula>
    </cfRule>
    <cfRule type="containsText" dxfId="418" priority="697" operator="containsText" text="C">
      <formula>NOT(ISERROR(SEARCH("C",K130)))</formula>
    </cfRule>
  </conditionalFormatting>
  <conditionalFormatting sqref="K158:K161 N158:N161 Q158:Q161 T158:T161">
    <cfRule type="containsText" dxfId="417" priority="674" operator="containsText" text="U/R">
      <formula>NOT(ISERROR(SEARCH("U/R",K158)))</formula>
    </cfRule>
  </conditionalFormatting>
  <conditionalFormatting sqref="K158:K161">
    <cfRule type="containsText" dxfId="416" priority="675" operator="containsText" text="C">
      <formula>NOT(ISERROR(SEARCH("C",K158)))</formula>
    </cfRule>
    <cfRule type="containsText" dxfId="415" priority="676" operator="containsText" text="B">
      <formula>NOT(ISERROR(SEARCH("B",K158)))</formula>
    </cfRule>
    <cfRule type="containsText" dxfId="414" priority="677" operator="containsText" text="A">
      <formula>NOT(ISERROR(SEARCH("A",K158)))</formula>
    </cfRule>
  </conditionalFormatting>
  <conditionalFormatting sqref="K63:L63">
    <cfRule type="containsText" dxfId="413" priority="713" operator="containsText" text="U/R">
      <formula>NOT(ISERROR(SEARCH("U/R",K63)))</formula>
    </cfRule>
  </conditionalFormatting>
  <conditionalFormatting sqref="K74:L76">
    <cfRule type="containsText" dxfId="412" priority="864" operator="containsText" text="U/R">
      <formula>NOT(ISERROR(SEARCH("U/R",K74)))</formula>
    </cfRule>
  </conditionalFormatting>
  <conditionalFormatting sqref="K92:L92">
    <cfRule type="containsText" dxfId="411" priority="127" operator="containsText" text="U/R">
      <formula>NOT(ISERROR(SEARCH("U/R",K92)))</formula>
    </cfRule>
    <cfRule type="containsText" dxfId="410" priority="128" operator="containsText" text="C">
      <formula>NOT(ISERROR(SEARCH("C",K92)))</formula>
    </cfRule>
    <cfRule type="containsText" dxfId="409" priority="129" operator="containsText" text="B">
      <formula>NOT(ISERROR(SEARCH("B",K92)))</formula>
    </cfRule>
    <cfRule type="containsText" dxfId="408" priority="130" operator="containsText" text="A">
      <formula>NOT(ISERROR(SEARCH("A",K92)))</formula>
    </cfRule>
  </conditionalFormatting>
  <conditionalFormatting sqref="K63:T63">
    <cfRule type="containsText" dxfId="407" priority="715" operator="containsText" text="B">
      <formula>NOT(ISERROR(SEARCH("B",K63)))</formula>
    </cfRule>
    <cfRule type="containsText" dxfId="406" priority="714" operator="containsText" text="C">
      <formula>NOT(ISERROR(SEARCH("C",K63)))</formula>
    </cfRule>
    <cfRule type="containsText" dxfId="405" priority="716" operator="containsText" text="A">
      <formula>NOT(ISERROR(SEARCH("A",K63)))</formula>
    </cfRule>
  </conditionalFormatting>
  <conditionalFormatting sqref="K74:T76">
    <cfRule type="containsText" dxfId="404" priority="865" operator="containsText" text="C">
      <formula>NOT(ISERROR(SEARCH("C",K74)))</formula>
    </cfRule>
    <cfRule type="containsText" dxfId="403" priority="866" operator="containsText" text="B">
      <formula>NOT(ISERROR(SEARCH("B",K74)))</formula>
    </cfRule>
    <cfRule type="containsText" dxfId="402" priority="867" operator="containsText" text="A">
      <formula>NOT(ISERROR(SEARCH("A",K74)))</formula>
    </cfRule>
  </conditionalFormatting>
  <conditionalFormatting sqref="L11 R11 U11">
    <cfRule type="containsText" dxfId="401" priority="3261" operator="containsText" text="A">
      <formula>NOT(ISERROR(SEARCH("A",L11)))</formula>
    </cfRule>
    <cfRule type="containsText" dxfId="400" priority="3258" operator="containsText" text="U/R">
      <formula>NOT(ISERROR(SEARCH("U/R",L11)))</formula>
    </cfRule>
    <cfRule type="containsText" dxfId="399" priority="3259" operator="containsText" text="C">
      <formula>NOT(ISERROR(SEARCH("C",L11)))</formula>
    </cfRule>
    <cfRule type="containsText" dxfId="398" priority="3260" operator="containsText" text="B">
      <formula>NOT(ISERROR(SEARCH("B",L11)))</formula>
    </cfRule>
  </conditionalFormatting>
  <conditionalFormatting sqref="L181">
    <cfRule type="containsText" dxfId="397" priority="600" operator="containsText" text="B">
      <formula>NOT(ISERROR(SEARCH("B",L181)))</formula>
    </cfRule>
    <cfRule type="containsText" dxfId="396" priority="601" operator="containsText" text="A">
      <formula>NOT(ISERROR(SEARCH("A",L181)))</formula>
    </cfRule>
    <cfRule type="containsText" dxfId="395" priority="599" operator="containsText" text="C">
      <formula>NOT(ISERROR(SEARCH("C",L181)))</formula>
    </cfRule>
    <cfRule type="containsText" dxfId="394" priority="598" operator="containsText" text="U/R">
      <formula>NOT(ISERROR(SEARCH("U/R",L181)))</formula>
    </cfRule>
  </conditionalFormatting>
  <conditionalFormatting sqref="L198:L199">
    <cfRule type="containsText" dxfId="393" priority="605" operator="containsText" text="A">
      <formula>NOT(ISERROR(SEARCH("A",L198)))</formula>
    </cfRule>
    <cfRule type="containsText" dxfId="392" priority="604" operator="containsText" text="B">
      <formula>NOT(ISERROR(SEARCH("B",L198)))</formula>
    </cfRule>
    <cfRule type="containsText" dxfId="391" priority="603" operator="containsText" text="C">
      <formula>NOT(ISERROR(SEARCH("C",L198)))</formula>
    </cfRule>
    <cfRule type="containsText" dxfId="390" priority="602" operator="containsText" text="U/R">
      <formula>NOT(ISERROR(SEARCH("U/R",L198)))</formula>
    </cfRule>
  </conditionalFormatting>
  <conditionalFormatting sqref="L230">
    <cfRule type="containsText" dxfId="389" priority="184" operator="containsText" text="C">
      <formula>NOT(ISERROR(SEARCH("C",L230)))</formula>
    </cfRule>
    <cfRule type="containsText" dxfId="388" priority="185" operator="containsText" text="B">
      <formula>NOT(ISERROR(SEARCH("B",L230)))</formula>
    </cfRule>
  </conditionalFormatting>
  <conditionalFormatting sqref="L268">
    <cfRule type="containsText" dxfId="387" priority="173" operator="containsText" text="C">
      <formula>NOT(ISERROR(SEARCH("C",L268)))</formula>
    </cfRule>
    <cfRule type="containsText" dxfId="386" priority="174" operator="containsText" text="B">
      <formula>NOT(ISERROR(SEARCH("B",L268)))</formula>
    </cfRule>
  </conditionalFormatting>
  <conditionalFormatting sqref="L283">
    <cfRule type="containsText" dxfId="385" priority="158" operator="containsText" text="C">
      <formula>NOT(ISERROR(SEARCH("C",L283)))</formula>
    </cfRule>
    <cfRule type="containsText" dxfId="384" priority="159" operator="containsText" text="B">
      <formula>NOT(ISERROR(SEARCH("B",L283)))</formula>
    </cfRule>
  </conditionalFormatting>
  <conditionalFormatting sqref="L17:M17">
    <cfRule type="containsText" dxfId="383" priority="74" operator="containsText" text="U/R">
      <formula>NOT(ISERROR(SEARCH("U/R",L17)))</formula>
    </cfRule>
    <cfRule type="containsText" dxfId="382" priority="75" operator="containsText" text="C">
      <formula>NOT(ISERROR(SEARCH("C",L17)))</formula>
    </cfRule>
    <cfRule type="containsText" dxfId="381" priority="76" operator="containsText" text="B">
      <formula>NOT(ISERROR(SEARCH("B",L17)))</formula>
    </cfRule>
    <cfRule type="containsText" dxfId="380" priority="77" operator="containsText" text="A">
      <formula>NOT(ISERROR(SEARCH("A",L17)))</formula>
    </cfRule>
  </conditionalFormatting>
  <conditionalFormatting sqref="L30:M31">
    <cfRule type="containsText" dxfId="379" priority="1397" operator="containsText" text="U/R">
      <formula>NOT(ISERROR(SEARCH("U/R",L30)))</formula>
    </cfRule>
    <cfRule type="containsText" dxfId="378" priority="1398" operator="containsText" text="C">
      <formula>NOT(ISERROR(SEARCH("C",L30)))</formula>
    </cfRule>
    <cfRule type="containsText" dxfId="377" priority="1399" operator="containsText" text="B">
      <formula>NOT(ISERROR(SEARCH("B",L30)))</formula>
    </cfRule>
    <cfRule type="containsText" dxfId="376" priority="1400" operator="containsText" text="A">
      <formula>NOT(ISERROR(SEARCH("A",L30)))</formula>
    </cfRule>
  </conditionalFormatting>
  <conditionalFormatting sqref="L111:M111">
    <cfRule type="containsText" dxfId="375" priority="706" operator="containsText" text="C">
      <formula>NOT(ISERROR(SEARCH("C",L111)))</formula>
    </cfRule>
    <cfRule type="containsText" dxfId="374" priority="707" operator="containsText" text="B">
      <formula>NOT(ISERROR(SEARCH("B",L111)))</formula>
    </cfRule>
    <cfRule type="containsText" dxfId="373" priority="705" operator="containsText" text="U/R">
      <formula>NOT(ISERROR(SEARCH("U/R",L111)))</formula>
    </cfRule>
    <cfRule type="containsText" dxfId="372" priority="708" operator="containsText" text="A">
      <formula>NOT(ISERROR(SEARCH("A",L111)))</formula>
    </cfRule>
  </conditionalFormatting>
  <conditionalFormatting sqref="L113:M113">
    <cfRule type="containsText" dxfId="371" priority="709" operator="containsText" text="U/R">
      <formula>NOT(ISERROR(SEARCH("U/R",L113)))</formula>
    </cfRule>
    <cfRule type="containsText" dxfId="370" priority="710" operator="containsText" text="C">
      <formula>NOT(ISERROR(SEARCH("C",L113)))</formula>
    </cfRule>
    <cfRule type="containsText" dxfId="369" priority="711" operator="containsText" text="B">
      <formula>NOT(ISERROR(SEARCH("B",L113)))</formula>
    </cfRule>
    <cfRule type="containsText" dxfId="368" priority="712" operator="containsText" text="A">
      <formula>NOT(ISERROR(SEARCH("A",L113)))</formula>
    </cfRule>
  </conditionalFormatting>
  <conditionalFormatting sqref="L116:M116">
    <cfRule type="containsText" dxfId="367" priority="742" operator="containsText" text="U/R">
      <formula>NOT(ISERROR(SEARCH("U/R",L116)))</formula>
    </cfRule>
    <cfRule type="containsText" dxfId="366" priority="745" operator="containsText" text="A">
      <formula>NOT(ISERROR(SEARCH("A",L116)))</formula>
    </cfRule>
    <cfRule type="containsText" dxfId="365" priority="744" operator="containsText" text="B">
      <formula>NOT(ISERROR(SEARCH("B",L116)))</formula>
    </cfRule>
    <cfRule type="containsText" dxfId="364" priority="743" operator="containsText" text="C">
      <formula>NOT(ISERROR(SEARCH("C",L116)))</formula>
    </cfRule>
  </conditionalFormatting>
  <conditionalFormatting sqref="L132:M133">
    <cfRule type="containsText" dxfId="363" priority="687" operator="containsText" text="A">
      <formula>NOT(ISERROR(SEARCH("A",L132)))</formula>
    </cfRule>
    <cfRule type="containsText" dxfId="362" priority="686" operator="containsText" text="B">
      <formula>NOT(ISERROR(SEARCH("B",L132)))</formula>
    </cfRule>
    <cfRule type="containsText" dxfId="361" priority="685" operator="containsText" text="C">
      <formula>NOT(ISERROR(SEARCH("C",L132)))</formula>
    </cfRule>
    <cfRule type="containsText" dxfId="360" priority="684" operator="containsText" text="U/R">
      <formula>NOT(ISERROR(SEARCH("U/R",L132)))</formula>
    </cfRule>
  </conditionalFormatting>
  <conditionalFormatting sqref="L163:M164">
    <cfRule type="containsText" dxfId="359" priority="662" operator="containsText" text="U/R">
      <formula>NOT(ISERROR(SEARCH("U/R",L163)))</formula>
    </cfRule>
    <cfRule type="containsText" dxfId="358" priority="663" operator="containsText" text="C">
      <formula>NOT(ISERROR(SEARCH("C",L163)))</formula>
    </cfRule>
    <cfRule type="containsText" dxfId="357" priority="664" operator="containsText" text="B">
      <formula>NOT(ISERROR(SEARCH("B",L163)))</formula>
    </cfRule>
    <cfRule type="containsText" dxfId="356" priority="665" operator="containsText" text="A">
      <formula>NOT(ISERROR(SEARCH("A",L163)))</formula>
    </cfRule>
  </conditionalFormatting>
  <conditionalFormatting sqref="L36:T36">
    <cfRule type="containsText" dxfId="355" priority="1083" operator="containsText" text="U/R">
      <formula>NOT(ISERROR(SEARCH("U/R",L36)))</formula>
    </cfRule>
  </conditionalFormatting>
  <conditionalFormatting sqref="M24">
    <cfRule type="containsText" dxfId="354" priority="1778" operator="containsText" text="A">
      <formula>NOT(ISERROR(SEARCH("A",M24)))</formula>
    </cfRule>
    <cfRule type="containsText" dxfId="353" priority="1777" operator="containsText" text="B">
      <formula>NOT(ISERROR(SEARCH("B",M24)))</formula>
    </cfRule>
    <cfRule type="containsText" dxfId="352" priority="1776" operator="containsText" text="C">
      <formula>NOT(ISERROR(SEARCH("C",M24)))</formula>
    </cfRule>
    <cfRule type="containsText" dxfId="351" priority="1775" operator="containsText" text="U/R">
      <formula>NOT(ISERROR(SEARCH("U/R",M24)))</formula>
    </cfRule>
  </conditionalFormatting>
  <conditionalFormatting sqref="M27">
    <cfRule type="containsText" dxfId="350" priority="1799" operator="containsText" text="A">
      <formula>NOT(ISERROR(SEARCH("A",M27)))</formula>
    </cfRule>
    <cfRule type="containsText" dxfId="349" priority="1798" operator="containsText" text="B">
      <formula>NOT(ISERROR(SEARCH("B",M27)))</formula>
    </cfRule>
    <cfRule type="containsText" dxfId="348" priority="1797" operator="containsText" text="C">
      <formula>NOT(ISERROR(SEARCH("C",M27)))</formula>
    </cfRule>
  </conditionalFormatting>
  <conditionalFormatting sqref="M37:M41 D48:D53">
    <cfRule type="containsText" dxfId="347" priority="1722" operator="containsText" text="A">
      <formula>NOT(ISERROR(SEARCH("A",D37)))</formula>
    </cfRule>
    <cfRule type="containsText" dxfId="346" priority="1721" operator="containsText" text="B">
      <formula>NOT(ISERROR(SEARCH("B",D37)))</formula>
    </cfRule>
  </conditionalFormatting>
  <conditionalFormatting sqref="M37:M41">
    <cfRule type="containsText" dxfId="345" priority="998" operator="containsText" text="U/R">
      <formula>NOT(ISERROR(SEARCH("U/R",M37)))</formula>
    </cfRule>
  </conditionalFormatting>
  <conditionalFormatting sqref="M92:M95">
    <cfRule type="containsText" dxfId="344" priority="1557" operator="containsText" text="U/R">
      <formula>NOT(ISERROR(SEARCH("U/R",M92)))</formula>
    </cfRule>
    <cfRule type="containsText" dxfId="343" priority="1560" operator="containsText" text="A">
      <formula>NOT(ISERROR(SEARCH("A",M92)))</formula>
    </cfRule>
    <cfRule type="containsText" dxfId="342" priority="1559" operator="containsText" text="B">
      <formula>NOT(ISERROR(SEARCH("B",M92)))</formula>
    </cfRule>
    <cfRule type="containsText" dxfId="341" priority="1558" operator="containsText" text="C">
      <formula>NOT(ISERROR(SEARCH("C",M92)))</formula>
    </cfRule>
  </conditionalFormatting>
  <conditionalFormatting sqref="M99">
    <cfRule type="containsText" dxfId="340" priority="554" operator="containsText" text="U/R">
      <formula>NOT(ISERROR(SEARCH("U/R",M99)))</formula>
    </cfRule>
    <cfRule type="containsText" dxfId="339" priority="555" operator="containsText" text="C">
      <formula>NOT(ISERROR(SEARCH("C",M99)))</formula>
    </cfRule>
    <cfRule type="containsText" dxfId="338" priority="557" operator="containsText" text="A">
      <formula>NOT(ISERROR(SEARCH("A",M99)))</formula>
    </cfRule>
    <cfRule type="containsText" dxfId="337" priority="556" operator="containsText" text="B">
      <formula>NOT(ISERROR(SEARCH("B",M99)))</formula>
    </cfRule>
  </conditionalFormatting>
  <conditionalFormatting sqref="M34:N34">
    <cfRule type="containsText" dxfId="336" priority="1080" operator="containsText" text="U/R">
      <formula>NOT(ISERROR(SEARCH("U/R",M34)))</formula>
    </cfRule>
  </conditionalFormatting>
  <conditionalFormatting sqref="M46:N46">
    <cfRule type="containsText" dxfId="335" priority="1749" operator="containsText" text="C">
      <formula>NOT(ISERROR(SEARCH("C",M46)))</formula>
    </cfRule>
    <cfRule type="containsText" dxfId="334" priority="1750" operator="containsText" text="B">
      <formula>NOT(ISERROR(SEARCH("B",M46)))</formula>
    </cfRule>
    <cfRule type="containsText" dxfId="333" priority="1751" operator="containsText" text="A">
      <formula>NOT(ISERROR(SEARCH("A",M46)))</formula>
    </cfRule>
  </conditionalFormatting>
  <conditionalFormatting sqref="M39:O39">
    <cfRule type="containsText" dxfId="332" priority="995" operator="containsText" text="U/R">
      <formula>NOT(ISERROR(SEARCH("U/R",M39)))</formula>
    </cfRule>
  </conditionalFormatting>
  <conditionalFormatting sqref="M37:Q37">
    <cfRule type="containsText" dxfId="331" priority="1003" operator="containsText" text="U/R">
      <formula>NOT(ISERROR(SEARCH("U/R",M37)))</formula>
    </cfRule>
  </conditionalFormatting>
  <conditionalFormatting sqref="M22:T23 J24:T24 J39:T41 D43:D44 J43:M44 D46:D47 J46:J47 M46:M47 G47:L47 G48:M49 G50:N50 P50:Q50 S50:T50 V50 G72:M72 M25:T26 V22:V23 V25:V27">
    <cfRule type="containsText" dxfId="330" priority="1851" operator="containsText" text="C">
      <formula>NOT(ISERROR(SEARCH("C",D22)))</formula>
    </cfRule>
  </conditionalFormatting>
  <conditionalFormatting sqref="M22:T23 V22:V23 J24:T24 M25:T26 V25:V27 J39:L39 J40:M41 D43:D44 J43:M44 D46:D47 J46:J47 M46:M47 G47:L47 G48:M49 G50:N50 P50:Q50 S50:T50 V50 G72:M72">
    <cfRule type="containsText" dxfId="329" priority="1852" operator="containsText" text="B">
      <formula>NOT(ISERROR(SEARCH("B",D22)))</formula>
    </cfRule>
    <cfRule type="containsText" dxfId="328" priority="1853" operator="containsText" text="A">
      <formula>NOT(ISERROR(SEARCH("A",D22)))</formula>
    </cfRule>
  </conditionalFormatting>
  <conditionalFormatting sqref="M25:T27">
    <cfRule type="containsText" dxfId="327" priority="1796" operator="containsText" text="U/R">
      <formula>NOT(ISERROR(SEARCH("U/R",M25)))</formula>
    </cfRule>
  </conditionalFormatting>
  <conditionalFormatting sqref="M46:T46">
    <cfRule type="containsText" dxfId="326" priority="1739" operator="containsText" text="U/R">
      <formula>NOT(ISERROR(SEARCH("U/R",M46)))</formula>
    </cfRule>
  </conditionalFormatting>
  <conditionalFormatting sqref="M63:T63">
    <cfRule type="containsText" dxfId="325" priority="737" operator="containsText" text="U/R">
      <formula>NOT(ISERROR(SEARCH("U/R",M63)))</formula>
    </cfRule>
  </conditionalFormatting>
  <conditionalFormatting sqref="M74:T76">
    <cfRule type="containsText" dxfId="324" priority="1506" operator="containsText" text="U/R">
      <formula>NOT(ISERROR(SEARCH("U/R",M74)))</formula>
    </cfRule>
  </conditionalFormatting>
  <conditionalFormatting sqref="M127:T129 M144:T147">
    <cfRule type="containsText" dxfId="323" priority="1580" operator="containsText" text="U/R">
      <formula>NOT(ISERROR(SEARCH("U/R",M127)))</formula>
    </cfRule>
    <cfRule type="containsText" dxfId="322" priority="1578" operator="containsText" text="B">
      <formula>NOT(ISERROR(SEARCH("B",M127)))</formula>
    </cfRule>
    <cfRule type="containsText" dxfId="321" priority="1577" operator="containsText" text="C">
      <formula>NOT(ISERROR(SEARCH("C",M127)))</formula>
    </cfRule>
    <cfRule type="containsText" dxfId="320" priority="1579" operator="containsText" text="A">
      <formula>NOT(ISERROR(SEARCH("A",M127)))</formula>
    </cfRule>
  </conditionalFormatting>
  <conditionalFormatting sqref="M131:T133 D131:D133">
    <cfRule type="containsText" dxfId="319" priority="704" operator="containsText" text="U/R">
      <formula>NOT(ISERROR(SEARCH("U/R",D131)))</formula>
    </cfRule>
  </conditionalFormatting>
  <conditionalFormatting sqref="M131:T134 J136:T142">
    <cfRule type="containsText" dxfId="318" priority="1471" operator="containsText" text="C">
      <formula>NOT(ISERROR(SEARCH("C",J131)))</formula>
    </cfRule>
    <cfRule type="containsText" dxfId="317" priority="1472" operator="containsText" text="B">
      <formula>NOT(ISERROR(SEARCH("B",J131)))</formula>
    </cfRule>
    <cfRule type="containsText" dxfId="316" priority="1473" operator="containsText" text="A">
      <formula>NOT(ISERROR(SEARCH("A",J131)))</formula>
    </cfRule>
  </conditionalFormatting>
  <conditionalFormatting sqref="M134:T134">
    <cfRule type="containsText" dxfId="315" priority="1470" operator="containsText" text="U/R">
      <formula>NOT(ISERROR(SEARCH("U/R",M134)))</formula>
    </cfRule>
  </conditionalFormatting>
  <conditionalFormatting sqref="M162:T164">
    <cfRule type="containsText" dxfId="314" priority="678" operator="containsText" text="U/R">
      <formula>NOT(ISERROR(SEARCH("U/R",M162)))</formula>
    </cfRule>
  </conditionalFormatting>
  <conditionalFormatting sqref="N12:N13 Q12:Q13 T12:T13 K13">
    <cfRule type="containsText" dxfId="313" priority="98" operator="containsText" text="C">
      <formula>NOT(ISERROR(SEARCH("C",K12)))</formula>
    </cfRule>
    <cfRule type="containsText" dxfId="312" priority="93" operator="containsText" text="U/R">
      <formula>NOT(ISERROR(SEARCH("U/R",K12)))</formula>
    </cfRule>
    <cfRule type="containsText" dxfId="311" priority="100" operator="containsText" text="A">
      <formula>NOT(ISERROR(SEARCH("A",K12)))</formula>
    </cfRule>
    <cfRule type="containsText" dxfId="310" priority="99" operator="containsText" text="B">
      <formula>NOT(ISERROR(SEARCH("B",K12)))</formula>
    </cfRule>
  </conditionalFormatting>
  <conditionalFormatting sqref="N18:N19 Q18:Q19 T18:T19 K19 K45 N45 Q45 T45 K65 N65 Q65 T65 K82 N82 Q82 T82 K101 N101 Q101 T101">
    <cfRule type="containsText" dxfId="309" priority="1060" operator="containsText" text="U/R">
      <formula>NOT(ISERROR(SEARCH("U/R",K18)))</formula>
    </cfRule>
  </conditionalFormatting>
  <conditionalFormatting sqref="N18:N19 Q18:Q19 T18:T19 K19 K45 N45 Q45 T45 K101 N101 Q101 T101">
    <cfRule type="containsText" dxfId="308" priority="1067" operator="containsText" text="A">
      <formula>NOT(ISERROR(SEARCH("A",K18)))</formula>
    </cfRule>
    <cfRule type="containsText" dxfId="307" priority="1066" operator="containsText" text="B">
      <formula>NOT(ISERROR(SEARCH("B",K18)))</formula>
    </cfRule>
    <cfRule type="containsText" dxfId="306" priority="1065" operator="containsText" text="C">
      <formula>NOT(ISERROR(SEARCH("C",K18)))</formula>
    </cfRule>
  </conditionalFormatting>
  <conditionalFormatting sqref="N35">
    <cfRule type="containsText" dxfId="305" priority="986" operator="containsText" text="A">
      <formula>NOT(ISERROR(SEARCH("A",N35)))</formula>
    </cfRule>
    <cfRule type="containsText" dxfId="304" priority="983" operator="containsText" text="U/R">
      <formula>NOT(ISERROR(SEARCH("U/R",N35)))</formula>
    </cfRule>
    <cfRule type="containsText" dxfId="303" priority="984" operator="containsText" text="C">
      <formula>NOT(ISERROR(SEARCH("C",N35)))</formula>
    </cfRule>
    <cfRule type="containsText" dxfId="302" priority="985" operator="containsText" text="B">
      <formula>NOT(ISERROR(SEARCH("B",N35)))</formula>
    </cfRule>
  </conditionalFormatting>
  <conditionalFormatting sqref="N37">
    <cfRule type="containsText" dxfId="301" priority="1002" operator="containsText" text="A">
      <formula>NOT(ISERROR(SEARCH("A",N37)))</formula>
    </cfRule>
    <cfRule type="containsText" dxfId="300" priority="1001" operator="containsText" text="B">
      <formula>NOT(ISERROR(SEARCH("B",N37)))</formula>
    </cfRule>
    <cfRule type="containsText" dxfId="299" priority="1000" operator="containsText" text="C">
      <formula>NOT(ISERROR(SEARCH("C",N37)))</formula>
    </cfRule>
    <cfRule type="containsText" dxfId="298" priority="999" operator="containsText" text="U/R">
      <formula>NOT(ISERROR(SEARCH("U/R",N37)))</formula>
    </cfRule>
  </conditionalFormatting>
  <conditionalFormatting sqref="N39">
    <cfRule type="containsText" dxfId="297" priority="992" operator="containsText" text="C">
      <formula>NOT(ISERROR(SEARCH("C",N39)))</formula>
    </cfRule>
    <cfRule type="containsText" dxfId="296" priority="993" operator="containsText" text="B">
      <formula>NOT(ISERROR(SEARCH("B",N39)))</formula>
    </cfRule>
    <cfRule type="containsText" dxfId="295" priority="994" operator="containsText" text="A">
      <formula>NOT(ISERROR(SEARCH("A",N39)))</formula>
    </cfRule>
    <cfRule type="containsText" dxfId="294" priority="991" operator="containsText" text="U/R">
      <formula>NOT(ISERROR(SEARCH("U/R",N39)))</formula>
    </cfRule>
  </conditionalFormatting>
  <conditionalFormatting sqref="N77:N80 Q77:Q80 T77:T80">
    <cfRule type="containsText" dxfId="293" priority="884" operator="containsText" text="U/R">
      <formula>NOT(ISERROR(SEARCH("U/R",N77)))</formula>
    </cfRule>
  </conditionalFormatting>
  <conditionalFormatting sqref="N190:N207 Q190:Q207 T190:T207 K191:K197 K200:K207 K59">
    <cfRule type="containsText" dxfId="292" priority="1334" operator="containsText" text="B">
      <formula>NOT(ISERROR(SEARCH("B",K59)))</formula>
    </cfRule>
  </conditionalFormatting>
  <conditionalFormatting sqref="N21:T21">
    <cfRule type="containsText" dxfId="291" priority="1786" operator="containsText" text="U/R">
      <formula>NOT(ISERROR(SEARCH("U/R",N21)))</formula>
    </cfRule>
  </conditionalFormatting>
  <conditionalFormatting sqref="N46:T53 G51:M53 G64:T64 G66:M71 N66:T72 J100:M100 D110:D113 M110:T113 D115:D116 M115:T117 V46:V58 P119:P129 S119:S129 P136:P147 S136:S147 J81:T81 P73:P76 S73:S76 P134 S134 V63:V64 V66:V76 V81 V102:V113 V115:V117 V119:V129 V131:V134 V136:V147 K148:K156 N148:N156 Q148:Q156 T148:T156 K165:K173 N165:N173 Q165:Q173 T165:T173 K178:K180 N178:N188 Q178:Q188 T178:T188 K182:K188 K65 N65 Q65 T65 K82 N82 Q82 T82 P54 S54 N59:N62 Q59:Q62 T59:T62 N114 Q114 T114 N77:N80 Q77:Q80 T77:T80 P63 S63 D131:D133 N130 Q130 T130 V162:V164 M162:T164 N158:N161 Q158:Q161 T158:T161 P102:P109 S102:S109">
    <cfRule type="containsText" dxfId="290" priority="1780" operator="containsText" text="C">
      <formula>NOT(ISERROR(SEARCH("C",D46)))</formula>
    </cfRule>
  </conditionalFormatting>
  <conditionalFormatting sqref="N46:T53 J100:T100 M110:T113 M115:T117 G51:M53 G64:T64 G66:M71 N66:T72 D110:D113 D115:D116">
    <cfRule type="containsText" dxfId="289" priority="1779" operator="containsText" text="U/R">
      <formula>NOT(ISERROR(SEARCH("U/R",D46)))</formula>
    </cfRule>
  </conditionalFormatting>
  <conditionalFormatting sqref="N46:T53 V46:V58 G51:M53 P54 S54 N59:N62 Q59:Q62 T59:T62 P63 S63 V63:V64 G64:T64 K65 N65 Q65 T65 G66:M71 N66:T72 V66:V76 P73:P76 S73:S76 N77:N80 Q77:Q80 T77:T80 J81:T81 V81 K82 N82 Q82 T82 J100:M100 P102:P109 S102:S109 V102:V113 D110:D113 M110:T113 N114 Q114 T114 D115:D116 M115:T117 V115:V117 P119:P129 S119:S129 V119:V129 N130 Q130 T130 D131:D133 V131:V134 P134 S134 P136:P147 S136:S147 V136:V147 K148:K156 N148:N156 Q148:Q156 T148:T156 N158:N161 Q158:Q161 T158:T161 M162:T164 V162:V164 K165:K173 N165:N173 Q165:Q173 T165:T173 K178:K180 N178:N188 Q178:Q188 T178:T188 K182:K188">
    <cfRule type="containsText" dxfId="288" priority="1781" operator="containsText" text="B">
      <formula>NOT(ISERROR(SEARCH("B",D46)))</formula>
    </cfRule>
    <cfRule type="containsText" dxfId="287" priority="1782" operator="containsText" text="A">
      <formula>NOT(ISERROR(SEARCH("A",D46)))</formula>
    </cfRule>
  </conditionalFormatting>
  <conditionalFormatting sqref="N92:T97 N99:T99">
    <cfRule type="containsText" dxfId="286" priority="1561" operator="containsText" text="U/R">
      <formula>NOT(ISERROR(SEARCH("U/R",N92)))</formula>
    </cfRule>
    <cfRule type="containsText" dxfId="285" priority="1562" operator="containsText" text="C">
      <formula>NOT(ISERROR(SEARCH("C",N92)))</formula>
    </cfRule>
    <cfRule type="containsText" dxfId="284" priority="1563" operator="containsText" text="B">
      <formula>NOT(ISERROR(SEARCH("B",N92)))</formula>
    </cfRule>
    <cfRule type="containsText" dxfId="283" priority="1564" operator="containsText" text="A">
      <formula>NOT(ISERROR(SEARCH("A",N92)))</formula>
    </cfRule>
  </conditionalFormatting>
  <conditionalFormatting sqref="P21 S21 V21">
    <cfRule type="containsText" dxfId="282" priority="1783" operator="containsText" text="C">
      <formula>NOT(ISERROR(SEARCH("C",P21)))</formula>
    </cfRule>
    <cfRule type="containsText" dxfId="281" priority="1784" operator="containsText" text="B">
      <formula>NOT(ISERROR(SEARCH("B",P21)))</formula>
    </cfRule>
    <cfRule type="containsText" dxfId="280" priority="1785" operator="containsText" text="A">
      <formula>NOT(ISERROR(SEARCH("A",P21)))</formula>
    </cfRule>
  </conditionalFormatting>
  <conditionalFormatting sqref="P24 S24 V24">
    <cfRule type="containsText" dxfId="279" priority="1774" operator="containsText" text="A">
      <formula>NOT(ISERROR(SEARCH("A",P24)))</formula>
    </cfRule>
    <cfRule type="containsText" dxfId="278" priority="1773" operator="containsText" text="B">
      <formula>NOT(ISERROR(SEARCH("B",P24)))</formula>
    </cfRule>
    <cfRule type="containsText" dxfId="277" priority="1772" operator="containsText" text="C">
      <formula>NOT(ISERROR(SEARCH("C",P24)))</formula>
    </cfRule>
  </conditionalFormatting>
  <conditionalFormatting sqref="P27 S27 P43:P44 S43:S44 V43:V44 O46:P46 R46:S46 P47:P49 S47:S49 O50:P50 R50:S50">
    <cfRule type="containsText" dxfId="276" priority="2061" operator="containsText" text="A">
      <formula>NOT(ISERROR(SEARCH("A",O27)))</formula>
    </cfRule>
    <cfRule type="containsText" dxfId="275" priority="2060" operator="containsText" text="B">
      <formula>NOT(ISERROR(SEARCH("B",O27)))</formula>
    </cfRule>
  </conditionalFormatting>
  <conditionalFormatting sqref="P29 S29 P157 S157 V157 P174:P177 S174:S177 V174:V177 P189 S189 V189 P208 S208 V208">
    <cfRule type="containsText" dxfId="274" priority="1039" operator="containsText" text="A">
      <formula>NOT(ISERROR(SEARCH("A",P29)))</formula>
    </cfRule>
    <cfRule type="containsText" dxfId="273" priority="1038" operator="containsText" text="B">
      <formula>NOT(ISERROR(SEARCH("B",P29)))</formula>
    </cfRule>
  </conditionalFormatting>
  <conditionalFormatting sqref="P37">
    <cfRule type="containsText" dxfId="272" priority="917" operator="containsText" text="B">
      <formula>NOT(ISERROR(SEARCH("B",P37)))</formula>
    </cfRule>
    <cfRule type="containsText" dxfId="271" priority="918" operator="containsText" text="A">
      <formula>NOT(ISERROR(SEARCH("A",P37)))</formula>
    </cfRule>
  </conditionalFormatting>
  <conditionalFormatting sqref="P35:Q35">
    <cfRule type="containsText" dxfId="270" priority="905" operator="containsText" text="U/R">
      <formula>NOT(ISERROR(SEARCH("U/R",P35)))</formula>
    </cfRule>
    <cfRule type="containsText" dxfId="269" priority="904" operator="containsText" text="A">
      <formula>NOT(ISERROR(SEARCH("A",P35)))</formula>
    </cfRule>
    <cfRule type="containsText" dxfId="268" priority="906" operator="containsText" text="C">
      <formula>NOT(ISERROR(SEARCH("C",P35)))</formula>
    </cfRule>
    <cfRule type="containsText" dxfId="267" priority="903" operator="containsText" text="B">
      <formula>NOT(ISERROR(SEARCH("B",P35)))</formula>
    </cfRule>
  </conditionalFormatting>
  <conditionalFormatting sqref="P37:Q37">
    <cfRule type="containsText" dxfId="266" priority="847" operator="containsText" text="C">
      <formula>NOT(ISERROR(SEARCH("C",P37)))</formula>
    </cfRule>
  </conditionalFormatting>
  <conditionalFormatting sqref="P46:Q46 S46:T46 V46">
    <cfRule type="containsText" dxfId="265" priority="1757" operator="containsText" text="C">
      <formula>NOT(ISERROR(SEARCH("C",P46)))</formula>
    </cfRule>
    <cfRule type="containsText" dxfId="264" priority="1758" operator="containsText" text="B">
      <formula>NOT(ISERROR(SEARCH("B",P46)))</formula>
    </cfRule>
    <cfRule type="containsText" dxfId="263" priority="1759" operator="containsText" text="A">
      <formula>NOT(ISERROR(SEARCH("A",P46)))</formula>
    </cfRule>
  </conditionalFormatting>
  <conditionalFormatting sqref="P35:T35">
    <cfRule type="containsText" dxfId="262" priority="897" operator="containsText" text="U/R">
      <formula>NOT(ISERROR(SEARCH("U/R",P35)))</formula>
    </cfRule>
    <cfRule type="containsText" dxfId="261" priority="900" operator="containsText" text="C">
      <formula>NOT(ISERROR(SEARCH("C",P35)))</formula>
    </cfRule>
  </conditionalFormatting>
  <conditionalFormatting sqref="P37:T37">
    <cfRule type="containsText" dxfId="260" priority="846" operator="containsText" text="U/R">
      <formula>NOT(ISERROR(SEARCH("U/R",P37)))</formula>
    </cfRule>
  </conditionalFormatting>
  <conditionalFormatting sqref="Q37">
    <cfRule type="containsText" dxfId="259" priority="844" operator="containsText" text="B">
      <formula>NOT(ISERROR(SEARCH("B",Q37)))</formula>
    </cfRule>
    <cfRule type="containsText" dxfId="258" priority="843" operator="containsText" text="C">
      <formula>NOT(ISERROR(SEARCH("C",Q37)))</formula>
    </cfRule>
    <cfRule type="containsText" dxfId="257" priority="842" operator="containsText" text="U/R">
      <formula>NOT(ISERROR(SEARCH("U/R",Q37)))</formula>
    </cfRule>
    <cfRule type="containsText" dxfId="256" priority="845" operator="containsText" text="A">
      <formula>NOT(ISERROR(SEARCH("A",Q37)))</formula>
    </cfRule>
  </conditionalFormatting>
  <conditionalFormatting sqref="R35:T35">
    <cfRule type="containsText" dxfId="255" priority="898" operator="containsText" text="B">
      <formula>NOT(ISERROR(SEARCH("B",R35)))</formula>
    </cfRule>
    <cfRule type="containsText" dxfId="254" priority="899" operator="containsText" text="A">
      <formula>NOT(ISERROR(SEARCH("A",R35)))</formula>
    </cfRule>
  </conditionalFormatting>
  <conditionalFormatting sqref="R37:T37">
    <cfRule type="containsText" dxfId="253" priority="914" operator="containsText" text="C">
      <formula>NOT(ISERROR(SEARCH("C",R37)))</formula>
    </cfRule>
    <cfRule type="containsText" dxfId="252" priority="913" operator="containsText" text="A">
      <formula>NOT(ISERROR(SEARCH("A",R37)))</formula>
    </cfRule>
    <cfRule type="containsText" dxfId="251" priority="912" operator="containsText" text="B">
      <formula>NOT(ISERROR(SEARCH("B",R37)))</formula>
    </cfRule>
  </conditionalFormatting>
  <conditionalFormatting sqref="U15:U16">
    <cfRule type="containsText" dxfId="250" priority="49" operator="containsText" text="C">
      <formula>NOT(ISERROR(SEARCH("C",U15)))</formula>
    </cfRule>
    <cfRule type="containsText" dxfId="249" priority="46" operator="containsText" text="U/R">
      <formula>NOT(ISERROR(SEARCH("U/R",U15)))</formula>
    </cfRule>
    <cfRule type="containsText" dxfId="248" priority="47" operator="containsText" text="B">
      <formula>NOT(ISERROR(SEARCH("B",U15)))</formula>
    </cfRule>
    <cfRule type="containsText" dxfId="247" priority="48" operator="containsText" text="A">
      <formula>NOT(ISERROR(SEARCH("A",U15)))</formula>
    </cfRule>
  </conditionalFormatting>
  <conditionalFormatting sqref="V21:V27">
    <cfRule type="containsText" dxfId="246" priority="1787" operator="containsText" text="U/R">
      <formula>NOT(ISERROR(SEARCH("U/R",V21)))</formula>
    </cfRule>
  </conditionalFormatting>
  <conditionalFormatting sqref="V43:V44 O50:P50 R50:S50 P43:P44 S43:S44 P27 S27 O46:P46 R46:S46 P47:P49 S47:S49">
    <cfRule type="containsText" dxfId="245" priority="2059" operator="containsText" text="C">
      <formula>NOT(ISERROR(SEARCH("C",O27)))</formula>
    </cfRule>
  </conditionalFormatting>
  <conditionalFormatting sqref="V157 V174 V189 V208">
    <cfRule type="containsText" dxfId="244" priority="1036" operator="containsText" text="U/R">
      <formula>NOT(ISERROR(SEARCH("U/R",V157)))</formula>
    </cfRule>
  </conditionalFormatting>
  <conditionalFormatting sqref="V157 V174:V177 V189 V208 P29 S29 P157 S157 P174:P177 S174:S177 P189 S189 P208 S208">
    <cfRule type="containsText" dxfId="243" priority="1037" operator="containsText" text="C">
      <formula>NOT(ISERROR(SEARCH("C",P29)))</formula>
    </cfRule>
  </conditionalFormatting>
  <conditionalFormatting sqref="V162:V164">
    <cfRule type="containsText" dxfId="242" priority="683" operator="containsText" text="U/R">
      <formula>NOT(ISERROR(SEARCH("U/R",V162)))</formula>
    </cfRule>
  </conditionalFormatting>
  <conditionalFormatting sqref="V14:W17 G14:T17">
    <cfRule type="containsText" dxfId="241" priority="73" operator="containsText" text="U/R">
      <formula>NOT(ISERROR(SEARCH("U/R",G14)))</formula>
    </cfRule>
  </conditionalFormatting>
  <conditionalFormatting sqref="V14:W17">
    <cfRule type="containsText" dxfId="240" priority="70" operator="containsText" text="A">
      <formula>NOT(ISERROR(SEARCH("A",V14)))</formula>
    </cfRule>
    <cfRule type="containsText" dxfId="239" priority="69" operator="containsText" text="B">
      <formula>NOT(ISERROR(SEARCH("B",V14)))</formula>
    </cfRule>
  </conditionalFormatting>
  <conditionalFormatting sqref="V15:Y16">
    <cfRule type="containsText" dxfId="238" priority="7" operator="containsText" text="B">
      <formula>NOT(ISERROR(SEARCH("B",V15)))</formula>
    </cfRule>
    <cfRule type="containsText" dxfId="237" priority="8" operator="containsText" text="A">
      <formula>NOT(ISERROR(SEARCH("A",V15)))</formula>
    </cfRule>
  </conditionalFormatting>
  <conditionalFormatting sqref="X14:AE14 X16:AE17 X15:AF15">
    <cfRule type="containsText" dxfId="236" priority="34" operator="containsText" text="U/R">
      <formula>NOT(ISERROR(SEARCH("U/R",X14)))</formula>
    </cfRule>
  </conditionalFormatting>
  <conditionalFormatting sqref="X14:AE14 X16:AE17">
    <cfRule type="containsText" dxfId="235" priority="33" operator="containsText" text="A">
      <formula>NOT(ISERROR(SEARCH("A",X14)))</formula>
    </cfRule>
  </conditionalFormatting>
  <conditionalFormatting sqref="X14:AE14 X15:AF15 X16:AE17">
    <cfRule type="containsText" dxfId="234" priority="35" operator="containsText" text="C">
      <formula>NOT(ISERROR(SEARCH("C",X14)))</formula>
    </cfRule>
  </conditionalFormatting>
  <conditionalFormatting sqref="X16:AE17 X14:AE14">
    <cfRule type="containsText" dxfId="233" priority="32" operator="containsText" text="B">
      <formula>NOT(ISERROR(SEARCH("B",X14)))</formula>
    </cfRule>
  </conditionalFormatting>
  <conditionalFormatting sqref="X15:AF15">
    <cfRule type="containsText" dxfId="232" priority="30" operator="containsText" text="B">
      <formula>NOT(ISERROR(SEARCH("B",X15)))</formula>
    </cfRule>
    <cfRule type="containsText" dxfId="231" priority="31" operator="containsText" text="A">
      <formula>NOT(ISERROR(SEARCH("A",X15)))</formula>
    </cfRule>
  </conditionalFormatting>
  <conditionalFormatting sqref="AA15:AB15">
    <cfRule type="containsText" dxfId="230" priority="6" operator="containsText" text="A">
      <formula>NOT(ISERROR(SEARCH("A",AA15)))</formula>
    </cfRule>
    <cfRule type="containsText" dxfId="229" priority="3" operator="containsText" text="B">
      <formula>NOT(ISERROR(SEARCH("B",AA15)))</formula>
    </cfRule>
    <cfRule type="containsText" dxfId="228" priority="4" operator="containsText" text="A">
      <formula>NOT(ISERROR(SEARCH("A",AA15)))</formula>
    </cfRule>
    <cfRule type="containsText" dxfId="227" priority="5" operator="containsText" text="B">
      <formula>NOT(ISERROR(SEARCH("B",AA15)))</formula>
    </cfRule>
  </conditionalFormatting>
  <conditionalFormatting sqref="AA15:AB16">
    <cfRule type="containsText" dxfId="226" priority="2" operator="containsText" text="A">
      <formula>NOT(ISERROR(SEARCH("A",AA15)))</formula>
    </cfRule>
    <cfRule type="containsText" dxfId="225" priority="9" operator="containsText" text="B">
      <formula>NOT(ISERROR(SEARCH("B",AA15)))</formula>
    </cfRule>
    <cfRule type="containsText" dxfId="224" priority="10" operator="containsText" text="A">
      <formula>NOT(ISERROR(SEARCH("A",AA15)))</formula>
    </cfRule>
    <cfRule type="containsText" dxfId="223" priority="1" operator="containsText" text="B">
      <formula>NOT(ISERROR(SEARCH("B",AA15)))</formula>
    </cfRule>
  </conditionalFormatting>
  <conditionalFormatting sqref="AD15:AE15">
    <cfRule type="containsText" dxfId="222" priority="27" operator="containsText" text="B">
      <formula>NOT(ISERROR(SEARCH("B",AD15)))</formula>
    </cfRule>
    <cfRule type="containsText" dxfId="221" priority="28" operator="containsText" text="A">
      <formula>NOT(ISERROR(SEARCH("A",AD15)))</formula>
    </cfRule>
    <cfRule type="containsText" dxfId="220" priority="24" operator="containsText" text="A">
      <formula>NOT(ISERROR(SEARCH("A",AD15)))</formula>
    </cfRule>
    <cfRule type="containsText" dxfId="219" priority="11" operator="containsText" text="U/R">
      <formula>NOT(ISERROR(SEARCH("U/R",AD15)))</formula>
    </cfRule>
    <cfRule type="containsText" dxfId="218" priority="12" operator="containsText" text="C">
      <formula>NOT(ISERROR(SEARCH("C",AD15)))</formula>
    </cfRule>
    <cfRule type="containsText" dxfId="217" priority="23" operator="containsText" text="B">
      <formula>NOT(ISERROR(SEARCH("B",AD15)))</formula>
    </cfRule>
    <cfRule type="containsText" dxfId="216" priority="13" operator="containsText" text="B">
      <formula>NOT(ISERROR(SEARCH("B",AD15)))</formula>
    </cfRule>
    <cfRule type="containsText" dxfId="215" priority="22" operator="containsText" text="U/R">
      <formula>NOT(ISERROR(SEARCH("U/R",AD15)))</formula>
    </cfRule>
    <cfRule type="containsText" dxfId="214" priority="25" operator="containsText" text="U/R">
      <formula>NOT(ISERROR(SEARCH("U/R",AD15)))</formula>
    </cfRule>
    <cfRule type="containsText" dxfId="213" priority="15" operator="containsText" text="U/R">
      <formula>NOT(ISERROR(SEARCH("U/R",AD15)))</formula>
    </cfRule>
    <cfRule type="containsText" dxfId="212" priority="26" operator="containsText" text="C">
      <formula>NOT(ISERROR(SEARCH("C",AD15)))</formula>
    </cfRule>
    <cfRule type="containsText" dxfId="211" priority="16" operator="containsText" text="B">
      <formula>NOT(ISERROR(SEARCH("B",AD15)))</formula>
    </cfRule>
    <cfRule type="containsText" dxfId="210" priority="14" operator="containsText" text="A">
      <formula>NOT(ISERROR(SEARCH("A",AD15)))</formula>
    </cfRule>
    <cfRule type="containsText" dxfId="209" priority="18" operator="containsText" text="U/R">
      <formula>NOT(ISERROR(SEARCH("U/R",AD15)))</formula>
    </cfRule>
    <cfRule type="containsText" dxfId="208" priority="19" operator="containsText" text="C">
      <formula>NOT(ISERROR(SEARCH("C",AD15)))</formula>
    </cfRule>
    <cfRule type="containsText" dxfId="207" priority="20" operator="containsText" text="B">
      <formula>NOT(ISERROR(SEARCH("B",AD15)))</formula>
    </cfRule>
    <cfRule type="containsText" dxfId="206" priority="21" operator="containsText" text="A">
      <formula>NOT(ISERROR(SEARCH("A",AD15)))</formula>
    </cfRule>
    <cfRule type="containsText" dxfId="205" priority="17" operator="containsText" text="A">
      <formula>NOT(ISERROR(SEARCH("A",AD15)))</formula>
    </cfRule>
  </conditionalFormatting>
  <conditionalFormatting sqref="AD15:AF15">
    <cfRule type="containsText" dxfId="204" priority="29" operator="containsText" text="U/R">
      <formula>NOT(ISERROR(SEARCH("U/R",AD15)))</formula>
    </cfRule>
  </conditionalFormatting>
  <dataValidations count="1">
    <dataValidation type="list" allowBlank="1" showInputMessage="1" showErrorMessage="1" sqref="L111 L74:L76 L190 L209 I267:I269 I150:I156 D138:D139 I167:I173 I78:I80 I215:I217 L55:L58 R37 I115:I116 R35 L60:L63 I179:I188 I162:I164 I197:I207 L116 D210:D1048576 I60:I62 L113 D126:D136 L132:L133 I131:I133 L163:L164 I192:I194 D143:D174 L198:L199 L181 I220:I227 I99 D176:D208 I213 L283 I233:I235 I238:I242 I258:I265 L268 I276:I281 I286 I229:I230 I253:I255 I271:I273 I283 L230 I244:I251 L92 D11:D14 D16:D118" xr:uid="{00000000-0002-0000-0600-000000000000}">
      <formula1>"A, B, C, U/R, Infor."</formula1>
    </dataValidation>
  </dataValidations>
  <printOptions horizontalCentered="1"/>
  <pageMargins left="0.45" right="0.45" top="0.75" bottom="0.75" header="0.3" footer="0.3"/>
  <pageSetup paperSize="8" scale="48" fitToHeight="7" orientation="landscape" r:id="rId1"/>
  <rowBreaks count="3" manualBreakCount="3">
    <brk id="75" max="22" man="1"/>
    <brk id="147" max="22" man="1"/>
    <brk id="217" max="2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>
    <pageSetUpPr fitToPage="1"/>
  </sheetPr>
  <dimension ref="A1:AM380"/>
  <sheetViews>
    <sheetView showGridLines="0" zoomScale="85" zoomScaleNormal="85" zoomScaleSheetLayoutView="100" workbookViewId="0">
      <pane xSplit="5" ySplit="13" topLeftCell="F37" activePane="bottomRight" state="frozen"/>
      <selection activeCell="C98" sqref="C98"/>
      <selection pane="topRight" activeCell="C98" sqref="C98"/>
      <selection pane="bottomLeft" activeCell="C98" sqref="C98"/>
      <selection pane="bottomRight" activeCell="C48" sqref="C48"/>
    </sheetView>
  </sheetViews>
  <sheetFormatPr defaultRowHeight="30" customHeight="1" x14ac:dyDescent="0.25"/>
  <cols>
    <col min="1" max="1" width="1.85546875" style="89" customWidth="1"/>
    <col min="2" max="2" width="13.5703125" style="5" customWidth="1"/>
    <col min="3" max="3" width="49.5703125" style="5" customWidth="1"/>
    <col min="4" max="4" width="23" style="6" bestFit="1" customWidth="1"/>
    <col min="5" max="5" width="32.5703125" style="5" bestFit="1" customWidth="1"/>
    <col min="6" max="6" width="23.5703125" style="5" bestFit="1" customWidth="1"/>
    <col min="7" max="7" width="17.42578125" style="5" customWidth="1"/>
    <col min="8" max="8" width="12.7109375" style="5" customWidth="1"/>
    <col min="9" max="9" width="14.42578125" style="5" customWidth="1"/>
    <col min="10" max="10" width="12.7109375" style="5" customWidth="1"/>
    <col min="11" max="11" width="10.7109375" style="5" customWidth="1"/>
    <col min="12" max="13" width="12.7109375" style="5" customWidth="1"/>
    <col min="14" max="14" width="12.140625" style="5" customWidth="1"/>
    <col min="15" max="15" width="13" style="5" customWidth="1"/>
    <col min="16" max="16" width="11.7109375" style="5" customWidth="1"/>
    <col min="17" max="17" width="10.7109375" style="5" customWidth="1"/>
    <col min="18" max="19" width="12.7109375" style="5" customWidth="1"/>
    <col min="20" max="20" width="10.7109375" style="5" customWidth="1"/>
    <col min="21" max="22" width="24.7109375" style="5" customWidth="1"/>
    <col min="23" max="23" width="8.7109375" customWidth="1"/>
  </cols>
  <sheetData>
    <row r="1" spans="1:22" ht="77.25" customHeight="1" x14ac:dyDescent="0.25">
      <c r="B1" s="108"/>
      <c r="C1" s="77"/>
      <c r="D1" s="74"/>
      <c r="E1" s="77"/>
      <c r="F1" s="77"/>
      <c r="G1" s="77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110"/>
      <c r="V1" s="79"/>
    </row>
    <row r="2" spans="1:22" ht="24.95" customHeight="1" x14ac:dyDescent="0.25">
      <c r="B2" s="82" t="s">
        <v>197</v>
      </c>
      <c r="C2" s="83" t="s">
        <v>198</v>
      </c>
      <c r="D2" s="76"/>
      <c r="E2" s="74"/>
      <c r="F2" s="75"/>
      <c r="G2" s="93"/>
      <c r="H2" s="77"/>
      <c r="I2" s="109"/>
      <c r="J2" s="75"/>
      <c r="K2" s="74"/>
      <c r="L2" s="109"/>
      <c r="M2" s="75"/>
      <c r="N2" s="74"/>
      <c r="O2" s="74"/>
      <c r="P2" s="74"/>
      <c r="Q2" s="74"/>
      <c r="R2" s="75"/>
      <c r="S2" s="75"/>
      <c r="T2" s="263"/>
      <c r="U2" s="263"/>
      <c r="V2" s="80"/>
    </row>
    <row r="3" spans="1:22" ht="24.95" customHeight="1" x14ac:dyDescent="0.25">
      <c r="B3" s="82" t="s">
        <v>192</v>
      </c>
      <c r="C3" s="82" t="s">
        <v>220</v>
      </c>
      <c r="D3" s="76"/>
      <c r="E3" s="74"/>
      <c r="F3" s="93"/>
      <c r="G3" s="75"/>
      <c r="H3" s="75"/>
      <c r="I3" s="75"/>
      <c r="J3" s="75"/>
      <c r="K3" s="78"/>
      <c r="L3" s="75"/>
      <c r="M3" s="75"/>
      <c r="N3" s="78"/>
      <c r="O3" s="78"/>
      <c r="P3" s="78"/>
      <c r="Q3" s="78"/>
      <c r="R3" s="75"/>
      <c r="S3" s="75"/>
      <c r="T3" s="84">
        <f>COUNTIF($E$14:$E$1048576,"A")/$T$7</f>
        <v>0.63265306122448983</v>
      </c>
      <c r="U3" s="7" t="s">
        <v>8</v>
      </c>
      <c r="V3" s="87" t="s">
        <v>12</v>
      </c>
    </row>
    <row r="4" spans="1:22" ht="24.95" customHeight="1" x14ac:dyDescent="0.25">
      <c r="B4" s="82" t="s">
        <v>193</v>
      </c>
      <c r="C4" s="91" t="s">
        <v>199</v>
      </c>
      <c r="D4" s="79"/>
      <c r="E4" s="79"/>
      <c r="F4" s="79"/>
      <c r="G4" s="77"/>
      <c r="H4" s="77"/>
      <c r="I4" s="75"/>
      <c r="J4" s="75"/>
      <c r="K4" s="78"/>
      <c r="L4" s="75"/>
      <c r="M4" s="75"/>
      <c r="N4" s="78"/>
      <c r="O4" s="78"/>
      <c r="P4" s="78"/>
      <c r="Q4" s="78"/>
      <c r="R4" s="75"/>
      <c r="S4" s="75"/>
      <c r="T4" s="84">
        <f>COUNTIF($E$14:$E$1048576,"B")/$T$7</f>
        <v>0.10204081632653061</v>
      </c>
      <c r="U4" s="48" t="s">
        <v>9</v>
      </c>
      <c r="V4" s="87" t="s">
        <v>13</v>
      </c>
    </row>
    <row r="5" spans="1:22" ht="24.95" customHeight="1" x14ac:dyDescent="0.25">
      <c r="B5" s="82" t="s">
        <v>196</v>
      </c>
      <c r="C5" s="91" t="s">
        <v>200</v>
      </c>
      <c r="D5" s="74"/>
      <c r="E5" s="74"/>
      <c r="F5" s="75"/>
      <c r="G5" s="75"/>
      <c r="H5" s="75"/>
      <c r="I5" s="75"/>
      <c r="J5" s="75"/>
      <c r="K5" s="78"/>
      <c r="L5" s="75"/>
      <c r="M5" s="75"/>
      <c r="N5" s="78"/>
      <c r="O5" s="78"/>
      <c r="P5" s="78"/>
      <c r="Q5" s="78"/>
      <c r="R5" s="75"/>
      <c r="S5" s="75"/>
      <c r="T5" s="85">
        <f>COUNTIF($E$14:$E$1048576,"C")/$T$7</f>
        <v>0.14285714285714285</v>
      </c>
      <c r="U5" s="35" t="s">
        <v>10</v>
      </c>
      <c r="V5" s="87" t="s">
        <v>23</v>
      </c>
    </row>
    <row r="6" spans="1:22" ht="24.95" customHeight="1" x14ac:dyDescent="0.25">
      <c r="B6" s="91" t="s">
        <v>195</v>
      </c>
      <c r="C6" s="82" t="s">
        <v>240</v>
      </c>
      <c r="D6" s="74"/>
      <c r="E6" s="74"/>
      <c r="F6" s="75"/>
      <c r="G6" s="79"/>
      <c r="H6" s="75"/>
      <c r="I6" s="75"/>
      <c r="J6" s="75"/>
      <c r="K6" s="78"/>
      <c r="L6" s="75"/>
      <c r="M6" s="75"/>
      <c r="N6" s="78"/>
      <c r="O6" s="78"/>
      <c r="P6" s="78"/>
      <c r="Q6" s="78"/>
      <c r="R6" s="75"/>
      <c r="S6" s="75"/>
      <c r="T6" s="85">
        <f>COUNTIF($E$14:$E$1048576,"U/R")/$T$7</f>
        <v>6.1224489795918366E-2</v>
      </c>
      <c r="U6" s="52" t="s">
        <v>11</v>
      </c>
      <c r="V6" s="87" t="s">
        <v>112</v>
      </c>
    </row>
    <row r="7" spans="1:22" ht="24.95" customHeight="1" x14ac:dyDescent="0.25">
      <c r="B7" s="91" t="s">
        <v>194</v>
      </c>
      <c r="C7" s="83" t="s">
        <v>639</v>
      </c>
      <c r="D7" s="74"/>
      <c r="E7" s="74"/>
      <c r="F7" s="75"/>
      <c r="G7" s="75"/>
      <c r="H7" s="75"/>
      <c r="I7" s="75"/>
      <c r="J7" s="75"/>
      <c r="K7" s="81"/>
      <c r="L7" s="75"/>
      <c r="M7" s="75"/>
      <c r="N7" s="81"/>
      <c r="O7" s="81"/>
      <c r="P7" s="81"/>
      <c r="Q7" s="81"/>
      <c r="R7" s="75"/>
      <c r="S7" s="75"/>
      <c r="T7" s="86">
        <f>COUNT($B$14:$B$1048576)</f>
        <v>49</v>
      </c>
      <c r="U7" s="88" t="s">
        <v>141</v>
      </c>
      <c r="V7" s="87" t="s">
        <v>142</v>
      </c>
    </row>
    <row r="8" spans="1:22" ht="24.95" customHeight="1" thickBot="1" x14ac:dyDescent="0.3">
      <c r="B8" s="91"/>
      <c r="C8" s="94"/>
      <c r="D8" s="74"/>
      <c r="E8" s="74"/>
      <c r="F8" s="75"/>
      <c r="G8" s="75"/>
      <c r="H8" s="75"/>
      <c r="I8" s="75"/>
      <c r="J8" s="75"/>
      <c r="K8" s="81"/>
      <c r="L8" s="75"/>
      <c r="M8" s="75"/>
      <c r="N8" s="81"/>
      <c r="O8" s="81"/>
      <c r="P8" s="81"/>
      <c r="Q8" s="81"/>
      <c r="R8" s="75"/>
      <c r="S8" s="75"/>
      <c r="T8" s="53"/>
      <c r="U8" s="6"/>
      <c r="V8" s="34"/>
    </row>
    <row r="9" spans="1:22" ht="24.95" hidden="1" customHeight="1" thickBot="1" x14ac:dyDescent="0.3">
      <c r="B9" s="91"/>
      <c r="C9" s="94"/>
      <c r="D9" s="74"/>
      <c r="E9" s="74"/>
      <c r="F9" s="75"/>
      <c r="G9" s="75"/>
      <c r="H9" s="75"/>
      <c r="I9" s="75"/>
      <c r="J9" s="75"/>
      <c r="K9" s="81"/>
      <c r="L9" s="75"/>
      <c r="M9" s="75"/>
      <c r="N9" s="81"/>
      <c r="O9" s="81"/>
      <c r="P9" s="81"/>
      <c r="Q9" s="81"/>
      <c r="R9" s="75"/>
      <c r="S9" s="75"/>
      <c r="T9" s="53"/>
      <c r="U9" s="6"/>
      <c r="V9" s="34"/>
    </row>
    <row r="10" spans="1:22" ht="24.95" hidden="1" customHeight="1" x14ac:dyDescent="0.25">
      <c r="B10" s="91"/>
      <c r="C10" s="94"/>
      <c r="D10" s="74"/>
      <c r="E10" s="74"/>
      <c r="F10" s="75"/>
      <c r="G10" s="75"/>
      <c r="H10" s="75"/>
      <c r="I10" s="75"/>
      <c r="J10" s="75"/>
      <c r="K10" s="81"/>
      <c r="L10" s="75"/>
      <c r="M10" s="75"/>
      <c r="N10" s="81"/>
      <c r="O10" s="81"/>
      <c r="P10" s="81"/>
      <c r="Q10" s="81"/>
      <c r="R10" s="75"/>
      <c r="S10" s="75"/>
      <c r="T10" s="53"/>
      <c r="U10" s="6"/>
      <c r="V10" s="34"/>
    </row>
    <row r="11" spans="1:22" ht="15.75" hidden="1" thickBot="1" x14ac:dyDescent="0.3">
      <c r="B11" s="75"/>
      <c r="C11" s="75"/>
      <c r="D11" s="74"/>
      <c r="E11" s="75"/>
      <c r="F11" s="75"/>
      <c r="G11" s="75"/>
      <c r="H11" s="75"/>
      <c r="I11" s="75"/>
      <c r="J11" s="75"/>
      <c r="K11" s="81"/>
      <c r="L11" s="75"/>
      <c r="M11" s="75"/>
      <c r="N11" s="81"/>
      <c r="O11" s="81"/>
      <c r="P11" s="81"/>
      <c r="Q11" s="81"/>
      <c r="R11" s="75"/>
      <c r="S11" s="75"/>
      <c r="T11" s="53"/>
      <c r="U11" s="6"/>
      <c r="V11" s="34"/>
    </row>
    <row r="12" spans="1:22" ht="20.100000000000001" customHeight="1" x14ac:dyDescent="0.25">
      <c r="A12" s="90"/>
      <c r="B12" s="264" t="s">
        <v>2</v>
      </c>
      <c r="C12" s="264" t="s">
        <v>214</v>
      </c>
      <c r="D12" s="251" t="s">
        <v>148</v>
      </c>
      <c r="E12" s="266" t="s">
        <v>95</v>
      </c>
      <c r="F12" s="270" t="s">
        <v>113</v>
      </c>
      <c r="G12" s="268" t="s">
        <v>54</v>
      </c>
      <c r="H12" s="257" t="s">
        <v>4</v>
      </c>
      <c r="I12" s="246" t="s">
        <v>34</v>
      </c>
      <c r="J12" s="247"/>
      <c r="K12" s="248"/>
      <c r="L12" s="247" t="s">
        <v>35</v>
      </c>
      <c r="M12" s="247"/>
      <c r="N12" s="248"/>
      <c r="O12" s="246" t="s">
        <v>36</v>
      </c>
      <c r="P12" s="247"/>
      <c r="Q12" s="248"/>
      <c r="R12" s="246" t="s">
        <v>190</v>
      </c>
      <c r="S12" s="247"/>
      <c r="T12" s="248"/>
      <c r="U12" s="259" t="s">
        <v>6</v>
      </c>
      <c r="V12" s="249" t="s">
        <v>7</v>
      </c>
    </row>
    <row r="13" spans="1:22" ht="47.25" customHeight="1" thickBot="1" x14ac:dyDescent="0.3">
      <c r="B13" s="265"/>
      <c r="C13" s="265"/>
      <c r="D13" s="252"/>
      <c r="E13" s="267"/>
      <c r="F13" s="271"/>
      <c r="G13" s="269"/>
      <c r="H13" s="258"/>
      <c r="I13" s="51" t="s">
        <v>234</v>
      </c>
      <c r="J13" s="46" t="s">
        <v>17</v>
      </c>
      <c r="K13" s="40" t="s">
        <v>5</v>
      </c>
      <c r="L13" s="39" t="s">
        <v>234</v>
      </c>
      <c r="M13" s="46" t="s">
        <v>17</v>
      </c>
      <c r="N13" s="40" t="s">
        <v>5</v>
      </c>
      <c r="O13" s="39" t="s">
        <v>234</v>
      </c>
      <c r="P13" s="46" t="s">
        <v>17</v>
      </c>
      <c r="Q13" s="40" t="s">
        <v>5</v>
      </c>
      <c r="R13" s="39" t="s">
        <v>234</v>
      </c>
      <c r="S13" s="46" t="s">
        <v>17</v>
      </c>
      <c r="T13" s="40" t="s">
        <v>5</v>
      </c>
      <c r="U13" s="260"/>
      <c r="V13" s="250"/>
    </row>
    <row r="14" spans="1:22" ht="20.100000000000001" customHeight="1" x14ac:dyDescent="0.25">
      <c r="B14" s="179" t="s">
        <v>8</v>
      </c>
      <c r="C14" s="180" t="s">
        <v>209</v>
      </c>
      <c r="D14" s="181"/>
      <c r="E14" s="182"/>
      <c r="F14" s="124"/>
      <c r="G14" s="13"/>
      <c r="H14" s="13"/>
      <c r="I14" s="13"/>
      <c r="J14" s="13"/>
      <c r="K14" s="12"/>
      <c r="L14" s="13"/>
      <c r="M14" s="13"/>
      <c r="N14" s="12"/>
      <c r="O14" s="13"/>
      <c r="P14" s="13"/>
      <c r="Q14" s="12"/>
      <c r="R14" s="13"/>
      <c r="S14" s="13"/>
      <c r="T14" s="12"/>
      <c r="U14" s="13"/>
      <c r="V14" s="14"/>
    </row>
    <row r="15" spans="1:22" ht="20.100000000000001" customHeight="1" x14ac:dyDescent="0.25">
      <c r="A15" s="299"/>
      <c r="B15" s="300" t="s">
        <v>211</v>
      </c>
      <c r="C15" s="301" t="s">
        <v>202</v>
      </c>
      <c r="D15" s="298"/>
      <c r="E15" s="302"/>
      <c r="F15" s="303"/>
      <c r="G15" s="304"/>
      <c r="H15" s="304"/>
      <c r="I15" s="304"/>
      <c r="J15" s="304"/>
      <c r="K15" s="305"/>
      <c r="L15" s="304"/>
      <c r="M15" s="304"/>
      <c r="N15" s="305"/>
      <c r="O15" s="304"/>
      <c r="P15" s="304"/>
      <c r="Q15" s="305"/>
      <c r="R15" s="304"/>
      <c r="S15" s="304"/>
      <c r="T15" s="305"/>
      <c r="U15" s="304"/>
      <c r="V15" s="306"/>
    </row>
    <row r="16" spans="1:22" ht="20.100000000000001" customHeight="1" x14ac:dyDescent="0.25">
      <c r="A16" s="171"/>
      <c r="B16" s="196">
        <f>MAX(B15)+1</f>
        <v>1</v>
      </c>
      <c r="C16" s="127" t="s">
        <v>76</v>
      </c>
      <c r="D16" s="215" t="s">
        <v>265</v>
      </c>
      <c r="E16" s="232" t="s">
        <v>8</v>
      </c>
      <c r="F16" s="224">
        <v>45134</v>
      </c>
      <c r="G16" s="23" t="s">
        <v>74</v>
      </c>
      <c r="H16" s="24" t="s">
        <v>77</v>
      </c>
      <c r="I16" s="27">
        <v>45134</v>
      </c>
      <c r="J16" s="27">
        <v>45134</v>
      </c>
      <c r="K16" s="23" t="s">
        <v>8</v>
      </c>
      <c r="L16" s="26"/>
      <c r="M16" s="26"/>
      <c r="N16" s="23"/>
      <c r="O16" s="23"/>
      <c r="P16" s="23"/>
      <c r="Q16" s="23"/>
      <c r="R16" s="23"/>
      <c r="S16" s="23"/>
      <c r="T16" s="23"/>
      <c r="U16" s="21"/>
      <c r="V16" s="43"/>
    </row>
    <row r="17" spans="1:22" ht="20.100000000000001" customHeight="1" x14ac:dyDescent="0.25">
      <c r="B17" s="196">
        <f t="shared" ref="B17:B28" si="0">MAX(B16)+1</f>
        <v>2</v>
      </c>
      <c r="C17" s="128" t="s">
        <v>281</v>
      </c>
      <c r="D17" s="215" t="s">
        <v>264</v>
      </c>
      <c r="E17" s="232" t="s">
        <v>8</v>
      </c>
      <c r="F17" s="213">
        <v>43866</v>
      </c>
      <c r="G17" s="23" t="s">
        <v>62</v>
      </c>
      <c r="H17" s="24" t="s">
        <v>60</v>
      </c>
      <c r="I17" s="26">
        <v>43850</v>
      </c>
      <c r="J17" s="26">
        <v>43866</v>
      </c>
      <c r="K17" s="23" t="s">
        <v>8</v>
      </c>
      <c r="L17" s="23"/>
      <c r="M17" s="23"/>
      <c r="N17" s="23"/>
      <c r="O17" s="23"/>
      <c r="P17" s="23"/>
      <c r="Q17" s="23"/>
      <c r="R17" s="23"/>
      <c r="S17" s="23"/>
      <c r="T17" s="23"/>
      <c r="U17" s="21"/>
      <c r="V17" s="43"/>
    </row>
    <row r="18" spans="1:22" ht="20.100000000000001" customHeight="1" x14ac:dyDescent="0.25">
      <c r="A18" s="171"/>
      <c r="B18" s="196">
        <f t="shared" si="0"/>
        <v>3</v>
      </c>
      <c r="C18" s="128" t="s">
        <v>61</v>
      </c>
      <c r="D18" s="215" t="s">
        <v>264</v>
      </c>
      <c r="E18" s="232" t="s">
        <v>8</v>
      </c>
      <c r="F18" s="213">
        <v>43866</v>
      </c>
      <c r="G18" s="23" t="s">
        <v>62</v>
      </c>
      <c r="H18" s="24" t="s">
        <v>63</v>
      </c>
      <c r="I18" s="26">
        <v>43850</v>
      </c>
      <c r="J18" s="26">
        <v>43866</v>
      </c>
      <c r="K18" s="23" t="s">
        <v>8</v>
      </c>
      <c r="L18" s="26"/>
      <c r="M18" s="26"/>
      <c r="N18" s="23"/>
      <c r="O18" s="23"/>
      <c r="P18" s="23"/>
      <c r="Q18" s="23"/>
      <c r="R18" s="23"/>
      <c r="S18" s="23"/>
      <c r="T18" s="23"/>
      <c r="U18" s="21"/>
      <c r="V18" s="43"/>
    </row>
    <row r="19" spans="1:22" ht="20.100000000000001" customHeight="1" x14ac:dyDescent="0.25">
      <c r="A19" s="171"/>
      <c r="B19" s="196">
        <f t="shared" si="0"/>
        <v>4</v>
      </c>
      <c r="C19" s="127" t="s">
        <v>64</v>
      </c>
      <c r="D19" s="215" t="s">
        <v>265</v>
      </c>
      <c r="E19" s="232" t="s">
        <v>8</v>
      </c>
      <c r="F19" s="213">
        <v>43925</v>
      </c>
      <c r="G19" s="23" t="s">
        <v>62</v>
      </c>
      <c r="H19" s="24" t="s">
        <v>65</v>
      </c>
      <c r="I19" s="26">
        <v>43873</v>
      </c>
      <c r="J19" s="26">
        <v>43878</v>
      </c>
      <c r="K19" s="23" t="s">
        <v>10</v>
      </c>
      <c r="L19" s="26">
        <v>43925</v>
      </c>
      <c r="M19" s="26">
        <v>43926</v>
      </c>
      <c r="N19" s="23" t="s">
        <v>8</v>
      </c>
      <c r="O19" s="23"/>
      <c r="P19" s="23"/>
      <c r="Q19" s="23"/>
      <c r="R19" s="23"/>
      <c r="S19" s="23"/>
      <c r="T19" s="23"/>
      <c r="U19" s="21"/>
      <c r="V19" s="43"/>
    </row>
    <row r="20" spans="1:22" ht="20.100000000000001" customHeight="1" x14ac:dyDescent="0.25">
      <c r="A20" s="171"/>
      <c r="B20" s="196">
        <f t="shared" si="0"/>
        <v>5</v>
      </c>
      <c r="C20" s="127" t="s">
        <v>145</v>
      </c>
      <c r="D20" s="212" t="s">
        <v>263</v>
      </c>
      <c r="E20" s="232" t="s">
        <v>10</v>
      </c>
      <c r="F20" s="213">
        <v>45253</v>
      </c>
      <c r="G20" s="23" t="s">
        <v>74</v>
      </c>
      <c r="H20" s="23" t="s">
        <v>116</v>
      </c>
      <c r="I20" s="26">
        <v>45251</v>
      </c>
      <c r="J20" s="26">
        <v>45253</v>
      </c>
      <c r="K20" s="23" t="s">
        <v>10</v>
      </c>
      <c r="L20" s="24"/>
      <c r="M20" s="24"/>
      <c r="N20" s="23"/>
      <c r="O20" s="23"/>
      <c r="P20" s="23"/>
      <c r="Q20" s="23"/>
      <c r="R20" s="23"/>
      <c r="S20" s="23"/>
      <c r="T20" s="23"/>
      <c r="U20" s="21"/>
      <c r="V20" s="43"/>
    </row>
    <row r="21" spans="1:22" ht="20.100000000000001" customHeight="1" x14ac:dyDescent="0.25">
      <c r="A21" s="171"/>
      <c r="B21" s="196">
        <f t="shared" si="0"/>
        <v>6</v>
      </c>
      <c r="C21" s="127" t="s">
        <v>146</v>
      </c>
      <c r="D21" s="212" t="s">
        <v>262</v>
      </c>
      <c r="E21" s="232" t="s">
        <v>8</v>
      </c>
      <c r="F21" s="224"/>
      <c r="G21" s="23"/>
      <c r="H21" s="23" t="s">
        <v>117</v>
      </c>
      <c r="I21" s="26">
        <v>45251</v>
      </c>
      <c r="J21" s="27"/>
      <c r="K21" s="23" t="s">
        <v>8</v>
      </c>
      <c r="L21" s="27"/>
      <c r="M21" s="27"/>
      <c r="N21" s="23"/>
      <c r="O21" s="23"/>
      <c r="P21" s="23"/>
      <c r="Q21" s="23"/>
      <c r="R21" s="23"/>
      <c r="S21" s="23"/>
      <c r="T21" s="23"/>
      <c r="U21" s="21"/>
      <c r="V21" s="43"/>
    </row>
    <row r="22" spans="1:22" ht="20.100000000000001" customHeight="1" x14ac:dyDescent="0.25">
      <c r="A22" s="171"/>
      <c r="B22" s="196">
        <f t="shared" si="0"/>
        <v>7</v>
      </c>
      <c r="C22" s="127" t="s">
        <v>216</v>
      </c>
      <c r="D22" s="212" t="s">
        <v>225</v>
      </c>
      <c r="E22" s="232" t="s">
        <v>8</v>
      </c>
      <c r="F22" s="224">
        <v>45175</v>
      </c>
      <c r="G22" s="23" t="s">
        <v>74</v>
      </c>
      <c r="H22" s="24" t="s">
        <v>82</v>
      </c>
      <c r="I22" s="27">
        <v>45174</v>
      </c>
      <c r="J22" s="27">
        <v>45175</v>
      </c>
      <c r="K22" s="23" t="s">
        <v>8</v>
      </c>
      <c r="L22" s="27"/>
      <c r="M22" s="27"/>
      <c r="N22" s="23"/>
      <c r="O22" s="26"/>
      <c r="P22" s="26"/>
      <c r="Q22" s="23"/>
      <c r="R22" s="26"/>
      <c r="S22" s="26"/>
      <c r="T22" s="23"/>
      <c r="U22" s="21"/>
      <c r="V22" s="43"/>
    </row>
    <row r="23" spans="1:22" ht="20.100000000000001" customHeight="1" x14ac:dyDescent="0.25">
      <c r="A23" s="171"/>
      <c r="B23" s="196">
        <f t="shared" si="0"/>
        <v>8</v>
      </c>
      <c r="C23" s="127" t="s">
        <v>219</v>
      </c>
      <c r="D23" s="212" t="s">
        <v>217</v>
      </c>
      <c r="E23" s="232" t="s">
        <v>8</v>
      </c>
      <c r="F23" s="224">
        <v>45175</v>
      </c>
      <c r="G23" s="23" t="s">
        <v>74</v>
      </c>
      <c r="H23" s="24" t="s">
        <v>83</v>
      </c>
      <c r="I23" s="27">
        <v>45174</v>
      </c>
      <c r="J23" s="27">
        <v>45175</v>
      </c>
      <c r="K23" s="23" t="s">
        <v>8</v>
      </c>
      <c r="L23" s="27"/>
      <c r="M23" s="27"/>
      <c r="N23" s="23"/>
      <c r="O23" s="26"/>
      <c r="P23" s="26"/>
      <c r="Q23" s="23"/>
      <c r="R23" s="26"/>
      <c r="S23" s="26"/>
      <c r="T23" s="23"/>
      <c r="U23" s="21"/>
      <c r="V23" s="43"/>
    </row>
    <row r="24" spans="1:22" ht="20.100000000000001" customHeight="1" x14ac:dyDescent="0.25">
      <c r="A24" s="171"/>
      <c r="B24" s="196">
        <f t="shared" si="0"/>
        <v>9</v>
      </c>
      <c r="C24" s="128" t="s">
        <v>357</v>
      </c>
      <c r="D24" s="215"/>
      <c r="E24" s="232" t="s">
        <v>141</v>
      </c>
      <c r="F24" s="213"/>
      <c r="G24" s="23" t="s">
        <v>74</v>
      </c>
      <c r="H24" s="24" t="s">
        <v>493</v>
      </c>
      <c r="I24" s="26"/>
      <c r="J24" s="26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1"/>
      <c r="V24" s="43"/>
    </row>
    <row r="25" spans="1:22" ht="20.100000000000001" customHeight="1" x14ac:dyDescent="0.25">
      <c r="A25" s="171"/>
      <c r="B25" s="196">
        <f t="shared" si="0"/>
        <v>10</v>
      </c>
      <c r="C25" s="129" t="s">
        <v>249</v>
      </c>
      <c r="D25" s="216" t="s">
        <v>250</v>
      </c>
      <c r="E25" s="232"/>
      <c r="F25" s="225"/>
      <c r="G25" s="41"/>
      <c r="H25" s="41" t="s">
        <v>252</v>
      </c>
      <c r="I25" s="62">
        <v>45264</v>
      </c>
      <c r="J25" s="62"/>
      <c r="K25" s="54" t="s">
        <v>11</v>
      </c>
      <c r="L25" s="41"/>
      <c r="M25" s="41"/>
      <c r="N25" s="41"/>
      <c r="O25" s="41"/>
      <c r="P25" s="41"/>
      <c r="Q25" s="41"/>
      <c r="R25" s="41"/>
      <c r="S25" s="41"/>
      <c r="T25" s="41"/>
      <c r="U25" s="42"/>
      <c r="V25" s="122"/>
    </row>
    <row r="26" spans="1:22" ht="20.100000000000001" customHeight="1" x14ac:dyDescent="0.25">
      <c r="A26" s="171"/>
      <c r="B26" s="196">
        <f t="shared" si="0"/>
        <v>11</v>
      </c>
      <c r="C26" s="128" t="s">
        <v>280</v>
      </c>
      <c r="D26" s="215" t="s">
        <v>251</v>
      </c>
      <c r="E26" s="232" t="s">
        <v>8</v>
      </c>
      <c r="F26" s="225">
        <v>45330</v>
      </c>
      <c r="G26" s="41"/>
      <c r="H26" s="121" t="s">
        <v>245</v>
      </c>
      <c r="I26" s="62">
        <v>45295</v>
      </c>
      <c r="J26" s="62">
        <v>45330</v>
      </c>
      <c r="K26" s="23" t="s">
        <v>8</v>
      </c>
      <c r="L26" s="41"/>
      <c r="M26" s="41"/>
      <c r="N26" s="41"/>
      <c r="O26" s="41"/>
      <c r="P26" s="41"/>
      <c r="Q26" s="41"/>
      <c r="R26" s="41"/>
      <c r="S26" s="41"/>
      <c r="T26" s="41"/>
      <c r="U26" s="42"/>
      <c r="V26" s="122"/>
    </row>
    <row r="27" spans="1:22" ht="20.100000000000001" customHeight="1" x14ac:dyDescent="0.25">
      <c r="A27" s="171"/>
      <c r="B27" s="196">
        <f t="shared" si="0"/>
        <v>12</v>
      </c>
      <c r="C27" s="128" t="s">
        <v>359</v>
      </c>
      <c r="D27" s="216"/>
      <c r="E27" s="233" t="s">
        <v>9</v>
      </c>
      <c r="F27" s="225">
        <v>45407</v>
      </c>
      <c r="G27" s="41"/>
      <c r="H27" s="121" t="s">
        <v>360</v>
      </c>
      <c r="I27" s="62">
        <v>45390</v>
      </c>
      <c r="J27" s="62">
        <v>45407</v>
      </c>
      <c r="K27" s="23" t="s">
        <v>9</v>
      </c>
      <c r="L27" s="41"/>
      <c r="M27" s="41"/>
      <c r="N27" s="41"/>
      <c r="O27" s="41"/>
      <c r="P27" s="41"/>
      <c r="Q27" s="41"/>
      <c r="R27" s="41"/>
      <c r="S27" s="41"/>
      <c r="T27" s="41"/>
      <c r="U27" s="42"/>
      <c r="V27" s="122"/>
    </row>
    <row r="28" spans="1:22" ht="20.100000000000001" customHeight="1" x14ac:dyDescent="0.25">
      <c r="A28" s="171"/>
      <c r="B28" s="196">
        <f t="shared" si="0"/>
        <v>13</v>
      </c>
      <c r="C28" s="129" t="s">
        <v>361</v>
      </c>
      <c r="D28" s="216" t="s">
        <v>362</v>
      </c>
      <c r="E28" s="232" t="s">
        <v>8</v>
      </c>
      <c r="F28" s="225">
        <v>45407</v>
      </c>
      <c r="G28" s="41"/>
      <c r="H28" s="121" t="s">
        <v>363</v>
      </c>
      <c r="I28" s="62">
        <v>45400</v>
      </c>
      <c r="J28" s="62">
        <v>45407</v>
      </c>
      <c r="K28" s="23" t="s">
        <v>8</v>
      </c>
      <c r="L28" s="41"/>
      <c r="M28" s="41"/>
      <c r="N28" s="41"/>
      <c r="O28" s="41"/>
      <c r="P28" s="41"/>
      <c r="Q28" s="41"/>
      <c r="R28" s="41"/>
      <c r="S28" s="41"/>
      <c r="T28" s="41"/>
      <c r="U28" s="42"/>
      <c r="V28" s="122"/>
    </row>
    <row r="29" spans="1:22" ht="20.100000000000001" customHeight="1" x14ac:dyDescent="0.25">
      <c r="B29" s="197" t="s">
        <v>212</v>
      </c>
      <c r="C29" s="144" t="s">
        <v>203</v>
      </c>
      <c r="D29" s="298"/>
      <c r="E29" s="145"/>
      <c r="F29" s="125"/>
      <c r="G29" s="97"/>
      <c r="H29" s="97"/>
      <c r="I29" s="97"/>
      <c r="J29" s="97"/>
      <c r="K29" s="98"/>
      <c r="L29" s="97"/>
      <c r="M29" s="97"/>
      <c r="N29" s="98"/>
      <c r="O29" s="97"/>
      <c r="P29" s="97"/>
      <c r="Q29" s="98"/>
      <c r="R29" s="97"/>
      <c r="S29" s="97"/>
      <c r="T29" s="98"/>
      <c r="U29" s="97"/>
      <c r="V29" s="99"/>
    </row>
    <row r="30" spans="1:22" ht="20.100000000000001" customHeight="1" x14ac:dyDescent="0.25">
      <c r="B30" s="198" t="s">
        <v>0</v>
      </c>
      <c r="C30" s="130" t="s">
        <v>204</v>
      </c>
      <c r="D30" s="215"/>
      <c r="E30" s="232"/>
      <c r="F30" s="126"/>
      <c r="G30" s="23"/>
      <c r="H30" s="24"/>
      <c r="I30" s="26"/>
      <c r="J30" s="26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1"/>
      <c r="V30" s="43"/>
    </row>
    <row r="31" spans="1:22" ht="20.100000000000001" customHeight="1" x14ac:dyDescent="0.25">
      <c r="B31" s="196">
        <f>MAX(B30)+1</f>
        <v>1</v>
      </c>
      <c r="C31" s="128" t="s">
        <v>246</v>
      </c>
      <c r="D31" s="215" t="s">
        <v>256</v>
      </c>
      <c r="E31" s="232" t="s">
        <v>8</v>
      </c>
      <c r="F31" s="213">
        <v>45285</v>
      </c>
      <c r="G31" s="23"/>
      <c r="H31" s="24" t="s">
        <v>247</v>
      </c>
      <c r="I31" s="26">
        <v>45285</v>
      </c>
      <c r="J31" s="26">
        <v>45293</v>
      </c>
      <c r="K31" s="23" t="s">
        <v>8</v>
      </c>
      <c r="L31" s="23"/>
      <c r="M31" s="23"/>
      <c r="N31" s="23"/>
      <c r="O31" s="23"/>
      <c r="P31" s="23"/>
      <c r="Q31" s="23"/>
      <c r="R31" s="23"/>
      <c r="S31" s="23"/>
      <c r="T31" s="23"/>
      <c r="U31" s="21"/>
      <c r="V31" s="43"/>
    </row>
    <row r="32" spans="1:22" ht="20.100000000000001" customHeight="1" x14ac:dyDescent="0.25">
      <c r="B32" s="196">
        <f>MAX(B31)+1</f>
        <v>2</v>
      </c>
      <c r="C32" s="129" t="s">
        <v>351</v>
      </c>
      <c r="D32" s="215" t="s">
        <v>355</v>
      </c>
      <c r="E32" s="232" t="s">
        <v>11</v>
      </c>
      <c r="F32" s="213">
        <v>45552</v>
      </c>
      <c r="G32" s="23"/>
      <c r="H32" s="24" t="s">
        <v>352</v>
      </c>
      <c r="I32" s="26">
        <v>45355</v>
      </c>
      <c r="J32" s="26">
        <v>45365</v>
      </c>
      <c r="K32" s="23" t="s">
        <v>10</v>
      </c>
      <c r="L32" s="26">
        <v>45552</v>
      </c>
      <c r="M32" s="23"/>
      <c r="N32" s="177" t="s">
        <v>11</v>
      </c>
      <c r="O32" s="23"/>
      <c r="P32" s="23"/>
      <c r="Q32" s="23"/>
      <c r="R32" s="23"/>
      <c r="S32" s="23"/>
      <c r="T32" s="23"/>
      <c r="U32" s="21"/>
      <c r="V32" s="43"/>
    </row>
    <row r="33" spans="1:39" ht="20.100000000000001" customHeight="1" x14ac:dyDescent="0.25">
      <c r="B33" s="198" t="s">
        <v>1</v>
      </c>
      <c r="C33" s="130" t="s">
        <v>205</v>
      </c>
      <c r="D33" s="215"/>
      <c r="E33" s="232"/>
      <c r="F33" s="213"/>
      <c r="G33" s="23"/>
      <c r="H33" s="24"/>
      <c r="I33" s="26"/>
      <c r="J33" s="2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1"/>
      <c r="V33" s="43"/>
    </row>
    <row r="34" spans="1:39" ht="20.100000000000001" customHeight="1" x14ac:dyDescent="0.25">
      <c r="A34" s="171"/>
      <c r="B34" s="196">
        <f>MAX(B33)+1</f>
        <v>1</v>
      </c>
      <c r="C34" s="127" t="s">
        <v>218</v>
      </c>
      <c r="D34" s="212" t="s">
        <v>255</v>
      </c>
      <c r="E34" s="232" t="s">
        <v>8</v>
      </c>
      <c r="F34" s="213">
        <v>45245</v>
      </c>
      <c r="G34" s="23" t="s">
        <v>74</v>
      </c>
      <c r="H34" s="23" t="s">
        <v>115</v>
      </c>
      <c r="I34" s="26">
        <v>45245</v>
      </c>
      <c r="J34" s="26">
        <v>45259</v>
      </c>
      <c r="K34" s="23" t="s">
        <v>8</v>
      </c>
      <c r="L34" s="26"/>
      <c r="M34" s="26"/>
      <c r="N34" s="23"/>
      <c r="O34" s="21"/>
      <c r="P34" s="21"/>
      <c r="Q34" s="21"/>
      <c r="R34" s="21"/>
      <c r="S34" s="21"/>
      <c r="T34" s="21"/>
      <c r="U34" s="21"/>
      <c r="V34" s="43"/>
    </row>
    <row r="35" spans="1:39" ht="20.100000000000001" customHeight="1" x14ac:dyDescent="0.25">
      <c r="A35" s="171"/>
      <c r="B35" s="196">
        <v>2</v>
      </c>
      <c r="C35" s="151" t="s">
        <v>339</v>
      </c>
      <c r="D35" s="212" t="s">
        <v>340</v>
      </c>
      <c r="E35" s="232" t="s">
        <v>8</v>
      </c>
      <c r="F35" s="213">
        <v>45320</v>
      </c>
      <c r="G35" s="23"/>
      <c r="H35" s="23" t="s">
        <v>341</v>
      </c>
      <c r="I35" s="26">
        <v>45320</v>
      </c>
      <c r="J35" s="26">
        <v>45323</v>
      </c>
      <c r="K35" s="23" t="s">
        <v>8</v>
      </c>
      <c r="L35" s="26"/>
      <c r="M35" s="26"/>
      <c r="N35" s="23"/>
      <c r="O35" s="21"/>
      <c r="P35" s="21"/>
      <c r="Q35" s="21"/>
      <c r="R35" s="21"/>
      <c r="S35" s="21"/>
      <c r="T35" s="21"/>
      <c r="U35" s="21"/>
      <c r="V35" s="43"/>
    </row>
    <row r="36" spans="1:39" ht="20.100000000000001" customHeight="1" x14ac:dyDescent="0.25">
      <c r="B36" s="198" t="s">
        <v>143</v>
      </c>
      <c r="C36" s="130" t="s">
        <v>206</v>
      </c>
      <c r="D36" s="215"/>
      <c r="E36" s="232"/>
      <c r="F36" s="213"/>
      <c r="G36" s="23"/>
      <c r="H36" s="24"/>
      <c r="I36" s="26"/>
      <c r="J36" s="26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1"/>
      <c r="V36" s="43"/>
    </row>
    <row r="37" spans="1:39" ht="20.100000000000001" customHeight="1" x14ac:dyDescent="0.25">
      <c r="B37" s="196">
        <f>MAX(B36)+1</f>
        <v>1</v>
      </c>
      <c r="C37" s="128" t="s">
        <v>241</v>
      </c>
      <c r="D37" s="215" t="s">
        <v>256</v>
      </c>
      <c r="E37" s="232" t="s">
        <v>8</v>
      </c>
      <c r="F37" s="213">
        <v>45280</v>
      </c>
      <c r="G37" s="23"/>
      <c r="H37" s="24" t="s">
        <v>242</v>
      </c>
      <c r="I37" s="26">
        <v>45280</v>
      </c>
      <c r="J37" s="26">
        <v>45293</v>
      </c>
      <c r="K37" s="23" t="s">
        <v>8</v>
      </c>
      <c r="L37" s="23"/>
      <c r="M37" s="23"/>
      <c r="N37" s="59"/>
      <c r="O37" s="23"/>
      <c r="P37" s="23"/>
      <c r="Q37" s="23"/>
      <c r="R37" s="23"/>
      <c r="S37" s="23"/>
      <c r="T37" s="23"/>
      <c r="U37" s="21"/>
      <c r="V37" s="43"/>
    </row>
    <row r="38" spans="1:39" ht="20.100000000000001" customHeight="1" x14ac:dyDescent="0.25">
      <c r="B38" s="196">
        <f>MAX(B37)+1</f>
        <v>2</v>
      </c>
      <c r="C38" s="128" t="s">
        <v>358</v>
      </c>
      <c r="D38" s="215" t="s">
        <v>355</v>
      </c>
      <c r="E38" s="232" t="s">
        <v>8</v>
      </c>
      <c r="F38" s="213">
        <v>45562</v>
      </c>
      <c r="G38" s="23"/>
      <c r="H38" s="24" t="s">
        <v>353</v>
      </c>
      <c r="I38" s="26">
        <v>45355</v>
      </c>
      <c r="J38" s="26">
        <v>45365</v>
      </c>
      <c r="K38" s="23" t="s">
        <v>10</v>
      </c>
      <c r="L38" s="26">
        <v>45562</v>
      </c>
      <c r="M38" s="26">
        <v>45670</v>
      </c>
      <c r="N38" s="23" t="s">
        <v>10</v>
      </c>
      <c r="O38" s="26">
        <v>45674</v>
      </c>
      <c r="P38" s="26">
        <v>45684</v>
      </c>
      <c r="Q38" s="23" t="s">
        <v>8</v>
      </c>
      <c r="R38" s="23"/>
      <c r="S38" s="23"/>
      <c r="T38" s="23"/>
      <c r="U38" s="21"/>
      <c r="V38" s="43"/>
    </row>
    <row r="39" spans="1:39" ht="20.100000000000001" customHeight="1" x14ac:dyDescent="0.25">
      <c r="B39" s="198" t="s">
        <v>207</v>
      </c>
      <c r="C39" s="130" t="s">
        <v>208</v>
      </c>
      <c r="D39" s="215"/>
      <c r="E39" s="232"/>
      <c r="F39" s="213"/>
      <c r="G39" s="23"/>
      <c r="H39" s="24"/>
      <c r="I39" s="26"/>
      <c r="J39" s="26"/>
      <c r="K39" s="23"/>
      <c r="L39" s="23"/>
      <c r="M39" s="23"/>
      <c r="N39" s="41"/>
      <c r="O39" s="23"/>
      <c r="P39" s="23"/>
      <c r="Q39" s="23"/>
      <c r="R39" s="23"/>
      <c r="S39" s="23"/>
      <c r="T39" s="23"/>
      <c r="U39" s="21"/>
      <c r="V39" s="43"/>
    </row>
    <row r="40" spans="1:39" ht="20.100000000000001" customHeight="1" x14ac:dyDescent="0.25">
      <c r="B40" s="196">
        <f>MAX(B39)+1</f>
        <v>1</v>
      </c>
      <c r="C40" s="131" t="s">
        <v>248</v>
      </c>
      <c r="D40" s="215" t="s">
        <v>256</v>
      </c>
      <c r="E40" s="234" t="s">
        <v>8</v>
      </c>
      <c r="F40" s="213">
        <v>45285</v>
      </c>
      <c r="G40" s="59"/>
      <c r="H40" s="24" t="s">
        <v>247</v>
      </c>
      <c r="I40" s="26">
        <v>45285</v>
      </c>
      <c r="J40" s="26">
        <v>45293</v>
      </c>
      <c r="K40" s="23" t="s">
        <v>8</v>
      </c>
      <c r="L40" s="59"/>
      <c r="M40" s="59"/>
      <c r="N40" s="59"/>
      <c r="O40" s="59"/>
      <c r="P40" s="59"/>
      <c r="Q40" s="59"/>
      <c r="R40" s="59"/>
      <c r="S40" s="59"/>
      <c r="T40" s="59"/>
      <c r="U40" s="61"/>
      <c r="V40" s="102"/>
    </row>
    <row r="41" spans="1:39" ht="20.100000000000001" customHeight="1" x14ac:dyDescent="0.25">
      <c r="B41" s="196">
        <f>MAX(B40)+1</f>
        <v>2</v>
      </c>
      <c r="C41" s="131" t="s">
        <v>303</v>
      </c>
      <c r="D41" s="218" t="s">
        <v>336</v>
      </c>
      <c r="E41" s="234" t="s">
        <v>8</v>
      </c>
      <c r="F41" s="213">
        <v>45310</v>
      </c>
      <c r="G41" s="59"/>
      <c r="H41" s="24" t="s">
        <v>304</v>
      </c>
      <c r="I41" s="26">
        <v>45310</v>
      </c>
      <c r="J41" s="26">
        <v>45365</v>
      </c>
      <c r="K41" s="23" t="s">
        <v>8</v>
      </c>
      <c r="L41" s="59"/>
      <c r="M41" s="59"/>
      <c r="N41" s="59"/>
      <c r="O41" s="59"/>
      <c r="P41" s="59"/>
      <c r="Q41" s="59"/>
      <c r="R41" s="59"/>
      <c r="S41" s="59"/>
      <c r="T41" s="59"/>
      <c r="U41" s="61"/>
      <c r="V41" s="102"/>
    </row>
    <row r="42" spans="1:39" ht="20.100000000000001" customHeight="1" x14ac:dyDescent="0.25">
      <c r="B42" s="196">
        <f>MAX(B41)+1</f>
        <v>3</v>
      </c>
      <c r="C42" s="131" t="s">
        <v>354</v>
      </c>
      <c r="D42" s="218" t="s">
        <v>389</v>
      </c>
      <c r="E42" s="234" t="s">
        <v>8</v>
      </c>
      <c r="F42" s="213">
        <v>45454</v>
      </c>
      <c r="G42" s="59"/>
      <c r="H42" s="24" t="s">
        <v>356</v>
      </c>
      <c r="I42" s="26">
        <v>45454</v>
      </c>
      <c r="J42" s="26">
        <v>45540</v>
      </c>
      <c r="K42" s="23" t="s">
        <v>10</v>
      </c>
      <c r="L42" s="26">
        <v>45498</v>
      </c>
      <c r="M42" s="26">
        <v>45512</v>
      </c>
      <c r="N42" s="23" t="s">
        <v>10</v>
      </c>
      <c r="O42" s="26">
        <v>45524</v>
      </c>
      <c r="P42" s="26">
        <v>45537</v>
      </c>
      <c r="Q42" s="206" t="s">
        <v>9</v>
      </c>
      <c r="R42" s="26">
        <v>45540</v>
      </c>
      <c r="S42" s="26">
        <v>45540</v>
      </c>
      <c r="T42" s="59" t="s">
        <v>8</v>
      </c>
      <c r="U42" s="61"/>
      <c r="V42" s="102"/>
      <c r="X42" s="307" t="s">
        <v>412</v>
      </c>
      <c r="Y42" s="307"/>
      <c r="Z42" s="307"/>
      <c r="AA42" s="307"/>
      <c r="AB42" s="307"/>
      <c r="AC42" s="307"/>
      <c r="AD42" s="307"/>
      <c r="AE42" s="307"/>
      <c r="AF42" s="307"/>
      <c r="AG42" s="307"/>
      <c r="AH42" s="307"/>
      <c r="AI42" s="307"/>
      <c r="AJ42" s="307"/>
      <c r="AK42" s="307"/>
      <c r="AL42" s="307"/>
      <c r="AM42" s="307"/>
    </row>
    <row r="43" spans="1:39" ht="20.100000000000001" customHeight="1" x14ac:dyDescent="0.25">
      <c r="B43" s="198" t="s">
        <v>254</v>
      </c>
      <c r="C43" s="132" t="s">
        <v>253</v>
      </c>
      <c r="D43" s="218"/>
      <c r="E43" s="232"/>
      <c r="F43" s="213"/>
      <c r="G43" s="59"/>
      <c r="H43" s="24"/>
      <c r="I43" s="26"/>
      <c r="J43" s="26"/>
      <c r="K43" s="23"/>
      <c r="L43" s="59"/>
      <c r="M43" s="59"/>
      <c r="N43" s="178"/>
      <c r="O43" s="59"/>
      <c r="P43" s="59"/>
      <c r="Q43" s="178"/>
      <c r="R43" s="59"/>
      <c r="S43" s="59"/>
      <c r="T43" s="59"/>
      <c r="U43" s="61"/>
      <c r="V43" s="102"/>
    </row>
    <row r="44" spans="1:39" ht="20.100000000000001" customHeight="1" x14ac:dyDescent="0.25">
      <c r="B44" s="196">
        <f>MAX(B43)+1</f>
        <v>1</v>
      </c>
      <c r="C44" s="128" t="s">
        <v>248</v>
      </c>
      <c r="D44" s="215" t="s">
        <v>256</v>
      </c>
      <c r="E44" s="232" t="s">
        <v>8</v>
      </c>
      <c r="F44" s="213">
        <v>45280</v>
      </c>
      <c r="G44" s="23"/>
      <c r="H44" s="24" t="s">
        <v>242</v>
      </c>
      <c r="I44" s="26">
        <v>45280</v>
      </c>
      <c r="J44" s="26">
        <v>45293</v>
      </c>
      <c r="K44" s="23" t="s">
        <v>8</v>
      </c>
      <c r="L44" s="59"/>
      <c r="M44" s="59"/>
      <c r="N44" s="59"/>
      <c r="O44" s="59"/>
      <c r="P44" s="59"/>
      <c r="Q44" s="59"/>
      <c r="R44" s="59"/>
      <c r="S44" s="59"/>
      <c r="T44" s="59"/>
      <c r="U44" s="61"/>
      <c r="V44" s="102"/>
    </row>
    <row r="45" spans="1:39" ht="20.100000000000001" customHeight="1" x14ac:dyDescent="0.25">
      <c r="B45" s="196">
        <f>MAX(B44)+1</f>
        <v>2</v>
      </c>
      <c r="C45" s="128" t="s">
        <v>472</v>
      </c>
      <c r="D45" s="215" t="s">
        <v>457</v>
      </c>
      <c r="E45" s="232" t="s">
        <v>11</v>
      </c>
      <c r="F45" s="213">
        <v>45541</v>
      </c>
      <c r="G45" s="23"/>
      <c r="H45" s="24" t="s">
        <v>458</v>
      </c>
      <c r="I45" s="26">
        <v>45541</v>
      </c>
      <c r="J45" s="26"/>
      <c r="K45" s="177" t="s">
        <v>11</v>
      </c>
      <c r="L45" s="59"/>
      <c r="M45" s="59"/>
      <c r="N45" s="59"/>
      <c r="O45" s="59"/>
      <c r="P45" s="59"/>
      <c r="Q45" s="59"/>
      <c r="R45" s="59"/>
      <c r="S45" s="59"/>
      <c r="T45" s="59"/>
      <c r="U45" s="61"/>
      <c r="V45" s="102"/>
    </row>
    <row r="46" spans="1:39" ht="20.100000000000001" customHeight="1" x14ac:dyDescent="0.25">
      <c r="B46" s="196">
        <f>MAX(B45)+1</f>
        <v>3</v>
      </c>
      <c r="C46" s="129" t="s">
        <v>471</v>
      </c>
      <c r="D46" s="215" t="s">
        <v>355</v>
      </c>
      <c r="E46" s="232" t="s">
        <v>8</v>
      </c>
      <c r="F46" s="213">
        <v>45575</v>
      </c>
      <c r="G46" s="23"/>
      <c r="H46" s="24" t="s">
        <v>473</v>
      </c>
      <c r="I46" s="26">
        <v>45575</v>
      </c>
      <c r="J46" s="26">
        <v>45596</v>
      </c>
      <c r="K46" s="23" t="s">
        <v>10</v>
      </c>
      <c r="L46" s="26">
        <v>45608</v>
      </c>
      <c r="M46" s="26">
        <v>45617</v>
      </c>
      <c r="N46" s="206" t="s">
        <v>8</v>
      </c>
      <c r="O46" s="59"/>
      <c r="P46" s="59"/>
      <c r="Q46" s="59"/>
      <c r="R46" s="59"/>
      <c r="S46" s="59"/>
      <c r="T46" s="59"/>
      <c r="U46" s="61"/>
      <c r="V46" s="102"/>
    </row>
    <row r="47" spans="1:39" ht="20.100000000000001" customHeight="1" x14ac:dyDescent="0.25">
      <c r="B47" s="196">
        <f>MAX(B46)+1</f>
        <v>4</v>
      </c>
      <c r="C47" s="129" t="s">
        <v>519</v>
      </c>
      <c r="D47" s="215" t="s">
        <v>520</v>
      </c>
      <c r="E47" s="235" t="s">
        <v>8</v>
      </c>
      <c r="F47" s="213">
        <v>45645</v>
      </c>
      <c r="G47" s="23"/>
      <c r="H47" s="24" t="s">
        <v>521</v>
      </c>
      <c r="I47" s="213">
        <v>45645</v>
      </c>
      <c r="J47" s="26">
        <v>45652</v>
      </c>
      <c r="K47" s="206" t="s">
        <v>8</v>
      </c>
      <c r="L47" s="60"/>
      <c r="M47" s="60"/>
      <c r="N47" s="228"/>
      <c r="O47" s="59"/>
      <c r="P47" s="59"/>
      <c r="Q47" s="59"/>
      <c r="R47" s="59"/>
      <c r="S47" s="59"/>
      <c r="T47" s="59"/>
      <c r="U47" s="61"/>
      <c r="V47" s="102"/>
    </row>
    <row r="48" spans="1:39" ht="20.100000000000001" customHeight="1" x14ac:dyDescent="0.25">
      <c r="B48" s="198" t="s">
        <v>293</v>
      </c>
      <c r="C48" s="130" t="s">
        <v>294</v>
      </c>
      <c r="D48" s="215"/>
      <c r="E48" s="235"/>
      <c r="F48" s="213"/>
      <c r="G48" s="23"/>
      <c r="H48" s="24"/>
      <c r="I48" s="26"/>
      <c r="J48" s="26"/>
      <c r="K48" s="23"/>
      <c r="L48" s="59"/>
      <c r="M48" s="59"/>
      <c r="N48" s="59"/>
      <c r="O48" s="59"/>
      <c r="P48" s="59"/>
      <c r="Q48" s="59"/>
      <c r="R48" s="59"/>
      <c r="S48" s="59"/>
      <c r="T48" s="59"/>
      <c r="U48" s="61"/>
      <c r="V48" s="102"/>
    </row>
    <row r="49" spans="1:22" ht="20.100000000000001" customHeight="1" x14ac:dyDescent="0.25">
      <c r="B49" s="196">
        <f>MAX(B48)+1</f>
        <v>1</v>
      </c>
      <c r="C49" s="138" t="s">
        <v>295</v>
      </c>
      <c r="D49" s="215" t="s">
        <v>296</v>
      </c>
      <c r="E49" s="232" t="s">
        <v>8</v>
      </c>
      <c r="F49" s="213">
        <v>45310</v>
      </c>
      <c r="G49" s="23"/>
      <c r="H49" s="24" t="s">
        <v>298</v>
      </c>
      <c r="I49" s="26">
        <v>45310</v>
      </c>
      <c r="J49" s="26">
        <v>45365</v>
      </c>
      <c r="K49" s="23" t="s">
        <v>8</v>
      </c>
      <c r="L49" s="59"/>
      <c r="M49" s="59"/>
      <c r="N49" s="59"/>
      <c r="O49" s="59"/>
      <c r="P49" s="59"/>
      <c r="Q49" s="59"/>
      <c r="R49" s="59"/>
      <c r="S49" s="59"/>
      <c r="T49" s="59"/>
      <c r="U49" s="61"/>
      <c r="V49" s="102"/>
    </row>
    <row r="50" spans="1:22" ht="20.100000000000001" customHeight="1" x14ac:dyDescent="0.25">
      <c r="B50" s="198" t="s">
        <v>299</v>
      </c>
      <c r="C50" s="132" t="s">
        <v>300</v>
      </c>
      <c r="D50" s="215"/>
      <c r="E50" s="235"/>
      <c r="F50" s="213"/>
      <c r="G50" s="23"/>
      <c r="H50" s="24"/>
      <c r="I50" s="26"/>
      <c r="J50" s="26"/>
      <c r="K50" s="24"/>
      <c r="L50" s="59"/>
      <c r="M50" s="59"/>
      <c r="N50" s="59"/>
      <c r="O50" s="59"/>
      <c r="P50" s="59"/>
      <c r="Q50" s="59"/>
      <c r="R50" s="59"/>
      <c r="S50" s="59"/>
      <c r="T50" s="59"/>
      <c r="U50" s="61"/>
      <c r="V50" s="102"/>
    </row>
    <row r="51" spans="1:22" ht="20.100000000000001" customHeight="1" x14ac:dyDescent="0.25">
      <c r="B51" s="196">
        <f>MAX(B50)+1</f>
        <v>1</v>
      </c>
      <c r="C51" s="129" t="s">
        <v>301</v>
      </c>
      <c r="D51" s="215" t="s">
        <v>302</v>
      </c>
      <c r="E51" s="233" t="s">
        <v>10</v>
      </c>
      <c r="F51" s="213">
        <v>45310</v>
      </c>
      <c r="G51" s="23"/>
      <c r="H51" s="24" t="s">
        <v>297</v>
      </c>
      <c r="I51" s="26">
        <v>45310</v>
      </c>
      <c r="J51" s="26">
        <v>45344</v>
      </c>
      <c r="K51" s="23" t="s">
        <v>10</v>
      </c>
      <c r="L51" s="59"/>
      <c r="M51" s="59"/>
      <c r="N51" s="59"/>
      <c r="O51" s="59"/>
      <c r="P51" s="59"/>
      <c r="Q51" s="59"/>
      <c r="R51" s="59"/>
      <c r="S51" s="59"/>
      <c r="T51" s="59"/>
      <c r="U51" s="61"/>
      <c r="V51" s="102"/>
    </row>
    <row r="52" spans="1:22" ht="20.100000000000001" customHeight="1" x14ac:dyDescent="0.25">
      <c r="B52" s="197" t="s">
        <v>9</v>
      </c>
      <c r="C52" s="144" t="s">
        <v>210</v>
      </c>
      <c r="D52" s="217"/>
      <c r="E52" s="145"/>
      <c r="F52" s="125"/>
      <c r="G52" s="97"/>
      <c r="H52" s="111"/>
      <c r="I52" s="111"/>
      <c r="J52" s="111"/>
      <c r="K52" s="112"/>
      <c r="L52" s="111"/>
      <c r="M52" s="111"/>
      <c r="N52" s="112"/>
      <c r="O52" s="111"/>
      <c r="P52" s="111"/>
      <c r="Q52" s="112"/>
      <c r="R52" s="111"/>
      <c r="S52" s="111"/>
      <c r="T52" s="112"/>
      <c r="U52" s="111"/>
      <c r="V52" s="113"/>
    </row>
    <row r="53" spans="1:22" ht="20.100000000000001" customHeight="1" x14ac:dyDescent="0.25">
      <c r="A53" s="171"/>
      <c r="B53" s="196">
        <f>MAX(B52)+1</f>
        <v>1</v>
      </c>
      <c r="C53" s="127" t="s">
        <v>66</v>
      </c>
      <c r="D53" s="212" t="s">
        <v>282</v>
      </c>
      <c r="E53" s="232" t="s">
        <v>8</v>
      </c>
      <c r="F53" s="213">
        <v>43925</v>
      </c>
      <c r="G53" s="23" t="s">
        <v>62</v>
      </c>
      <c r="H53" s="24" t="s">
        <v>68</v>
      </c>
      <c r="I53" s="26">
        <v>43925</v>
      </c>
      <c r="J53" s="26">
        <v>43926</v>
      </c>
      <c r="K53" s="23" t="s">
        <v>8</v>
      </c>
      <c r="L53" s="26"/>
      <c r="M53" s="26"/>
      <c r="N53" s="23"/>
      <c r="O53" s="23"/>
      <c r="P53" s="23"/>
      <c r="Q53" s="23"/>
      <c r="R53" s="23"/>
      <c r="S53" s="23"/>
      <c r="T53" s="23"/>
      <c r="U53" s="21"/>
      <c r="V53" s="43"/>
    </row>
    <row r="54" spans="1:22" ht="20.100000000000001" hidden="1" customHeight="1" x14ac:dyDescent="0.25">
      <c r="A54" s="171"/>
      <c r="B54" s="196">
        <f t="shared" ref="B54" si="1">MAX(B53)+1</f>
        <v>2</v>
      </c>
      <c r="C54" s="127" t="s">
        <v>69</v>
      </c>
      <c r="D54" s="212"/>
      <c r="E54" s="232" t="s">
        <v>10</v>
      </c>
      <c r="F54" s="213">
        <v>44094</v>
      </c>
      <c r="G54" s="23" t="s">
        <v>62</v>
      </c>
      <c r="H54" s="24" t="s">
        <v>67</v>
      </c>
      <c r="I54" s="26">
        <v>44094</v>
      </c>
      <c r="J54" s="26">
        <v>44100</v>
      </c>
      <c r="K54" s="23" t="s">
        <v>10</v>
      </c>
      <c r="L54" s="26"/>
      <c r="M54" s="26"/>
      <c r="N54" s="23"/>
      <c r="O54" s="23"/>
      <c r="P54" s="23"/>
      <c r="Q54" s="23"/>
      <c r="R54" s="23"/>
      <c r="S54" s="23"/>
      <c r="T54" s="23"/>
      <c r="U54" s="21"/>
      <c r="V54" s="43"/>
    </row>
    <row r="55" spans="1:22" ht="20.100000000000001" customHeight="1" x14ac:dyDescent="0.25">
      <c r="A55" s="171"/>
      <c r="B55" s="196">
        <v>2</v>
      </c>
      <c r="C55" s="127" t="s">
        <v>70</v>
      </c>
      <c r="D55" s="212" t="s">
        <v>283</v>
      </c>
      <c r="E55" s="232" t="s">
        <v>8</v>
      </c>
      <c r="F55" s="224">
        <v>45098</v>
      </c>
      <c r="G55" s="23" t="s">
        <v>62</v>
      </c>
      <c r="H55" s="24" t="s">
        <v>71</v>
      </c>
      <c r="I55" s="26">
        <v>44123</v>
      </c>
      <c r="J55" s="26">
        <v>44147</v>
      </c>
      <c r="K55" s="23" t="s">
        <v>10</v>
      </c>
      <c r="L55" s="27">
        <v>45098</v>
      </c>
      <c r="M55" s="27">
        <v>45099</v>
      </c>
      <c r="N55" s="23" t="s">
        <v>8</v>
      </c>
      <c r="O55" s="23"/>
      <c r="P55" s="23"/>
      <c r="Q55" s="23"/>
      <c r="R55" s="23"/>
      <c r="S55" s="23"/>
      <c r="T55" s="23"/>
      <c r="U55" s="21"/>
      <c r="V55" s="43"/>
    </row>
    <row r="56" spans="1:22" ht="20.100000000000001" customHeight="1" x14ac:dyDescent="0.25">
      <c r="A56" s="171"/>
      <c r="B56" s="196">
        <f t="shared" ref="B56:B67" si="2">MAX(B55)+1</f>
        <v>3</v>
      </c>
      <c r="C56" s="127" t="s">
        <v>224</v>
      </c>
      <c r="D56" s="212"/>
      <c r="E56" s="232" t="s">
        <v>8</v>
      </c>
      <c r="F56" s="213">
        <v>45149</v>
      </c>
      <c r="G56" s="23" t="s">
        <v>62</v>
      </c>
      <c r="H56" s="24" t="s">
        <v>72</v>
      </c>
      <c r="I56" s="26">
        <v>45149</v>
      </c>
      <c r="J56" s="26">
        <v>45150</v>
      </c>
      <c r="K56" s="23" t="s">
        <v>8</v>
      </c>
      <c r="L56" s="26"/>
      <c r="M56" s="26"/>
      <c r="N56" s="23"/>
      <c r="O56" s="23"/>
      <c r="P56" s="23"/>
      <c r="Q56" s="23"/>
      <c r="R56" s="23"/>
      <c r="S56" s="23"/>
      <c r="T56" s="23"/>
      <c r="U56" s="21"/>
      <c r="V56" s="43"/>
    </row>
    <row r="57" spans="1:22" ht="20.100000000000001" customHeight="1" x14ac:dyDescent="0.25">
      <c r="A57" s="171"/>
      <c r="B57" s="196">
        <f t="shared" si="2"/>
        <v>4</v>
      </c>
      <c r="C57" s="127" t="s">
        <v>73</v>
      </c>
      <c r="D57" s="212" t="s">
        <v>149</v>
      </c>
      <c r="E57" s="232" t="s">
        <v>9</v>
      </c>
      <c r="F57" s="224">
        <v>45119</v>
      </c>
      <c r="G57" s="23" t="s">
        <v>74</v>
      </c>
      <c r="H57" s="24" t="s">
        <v>75</v>
      </c>
      <c r="I57" s="26"/>
      <c r="J57" s="26"/>
      <c r="K57" s="23"/>
      <c r="L57" s="27">
        <v>45119</v>
      </c>
      <c r="M57" s="27">
        <v>45120</v>
      </c>
      <c r="N57" s="23" t="s">
        <v>9</v>
      </c>
      <c r="O57" s="23"/>
      <c r="P57" s="23"/>
      <c r="Q57" s="23"/>
      <c r="R57" s="23"/>
      <c r="S57" s="23"/>
      <c r="T57" s="23"/>
      <c r="U57" s="21"/>
      <c r="V57" s="43"/>
    </row>
    <row r="58" spans="1:22" ht="20.100000000000001" customHeight="1" x14ac:dyDescent="0.25">
      <c r="A58" s="171"/>
      <c r="B58" s="196">
        <f t="shared" si="2"/>
        <v>5</v>
      </c>
      <c r="C58" s="127" t="s">
        <v>223</v>
      </c>
      <c r="D58" s="212" t="s">
        <v>144</v>
      </c>
      <c r="E58" s="232" t="s">
        <v>10</v>
      </c>
      <c r="F58" s="224">
        <v>45138</v>
      </c>
      <c r="G58" s="23" t="s">
        <v>74</v>
      </c>
      <c r="H58" s="24" t="s">
        <v>78</v>
      </c>
      <c r="I58" s="27">
        <v>45138</v>
      </c>
      <c r="J58" s="27">
        <v>45138</v>
      </c>
      <c r="K58" s="23" t="s">
        <v>10</v>
      </c>
      <c r="L58" s="26"/>
      <c r="M58" s="26"/>
      <c r="N58" s="23"/>
      <c r="O58" s="23"/>
      <c r="P58" s="23"/>
      <c r="Q58" s="23"/>
      <c r="R58" s="23"/>
      <c r="S58" s="23"/>
      <c r="T58" s="23"/>
      <c r="U58" s="21"/>
      <c r="V58" s="43"/>
    </row>
    <row r="59" spans="1:22" ht="20.100000000000001" customHeight="1" x14ac:dyDescent="0.25">
      <c r="A59" s="171"/>
      <c r="B59" s="196">
        <f t="shared" si="2"/>
        <v>6</v>
      </c>
      <c r="C59" s="127" t="s">
        <v>222</v>
      </c>
      <c r="D59" s="212" t="s">
        <v>144</v>
      </c>
      <c r="E59" s="232" t="s">
        <v>9</v>
      </c>
      <c r="F59" s="224">
        <v>45138</v>
      </c>
      <c r="G59" s="23" t="s">
        <v>74</v>
      </c>
      <c r="H59" s="24" t="s">
        <v>79</v>
      </c>
      <c r="I59" s="27">
        <v>45138</v>
      </c>
      <c r="J59" s="27">
        <v>45138</v>
      </c>
      <c r="K59" s="23" t="s">
        <v>9</v>
      </c>
      <c r="L59" s="26"/>
      <c r="M59" s="26"/>
      <c r="N59" s="23"/>
      <c r="O59" s="23"/>
      <c r="P59" s="23"/>
      <c r="Q59" s="23"/>
      <c r="R59" s="23"/>
      <c r="S59" s="23"/>
      <c r="T59" s="23"/>
      <c r="U59" s="21"/>
      <c r="V59" s="43"/>
    </row>
    <row r="60" spans="1:22" ht="20.100000000000001" customHeight="1" x14ac:dyDescent="0.25">
      <c r="A60" s="171"/>
      <c r="B60" s="196">
        <f t="shared" si="2"/>
        <v>7</v>
      </c>
      <c r="C60" s="127" t="s">
        <v>221</v>
      </c>
      <c r="D60" s="212"/>
      <c r="E60" s="232" t="s">
        <v>9</v>
      </c>
      <c r="F60" s="224">
        <v>45254</v>
      </c>
      <c r="G60" s="23" t="s">
        <v>74</v>
      </c>
      <c r="H60" s="24" t="s">
        <v>84</v>
      </c>
      <c r="I60" s="27">
        <v>45177</v>
      </c>
      <c r="J60" s="27">
        <v>45181</v>
      </c>
      <c r="K60" s="23" t="s">
        <v>10</v>
      </c>
      <c r="L60" s="27">
        <v>45254</v>
      </c>
      <c r="M60" s="27">
        <v>45283</v>
      </c>
      <c r="N60" s="23" t="s">
        <v>9</v>
      </c>
      <c r="O60" s="23"/>
      <c r="P60" s="23"/>
      <c r="Q60" s="23"/>
      <c r="R60" s="23"/>
      <c r="S60" s="23"/>
      <c r="T60" s="23"/>
      <c r="U60" s="21"/>
      <c r="V60" s="43"/>
    </row>
    <row r="61" spans="1:22" ht="20.100000000000001" customHeight="1" x14ac:dyDescent="0.25">
      <c r="A61" s="171"/>
      <c r="B61" s="196">
        <f t="shared" si="2"/>
        <v>8</v>
      </c>
      <c r="C61" s="127" t="s">
        <v>147</v>
      </c>
      <c r="D61" s="212" t="s">
        <v>284</v>
      </c>
      <c r="E61" s="232" t="s">
        <v>8</v>
      </c>
      <c r="F61" s="213">
        <v>45166</v>
      </c>
      <c r="G61" s="23" t="s">
        <v>74</v>
      </c>
      <c r="H61" s="23" t="s">
        <v>114</v>
      </c>
      <c r="I61" s="26">
        <v>45166</v>
      </c>
      <c r="J61" s="26">
        <v>45168</v>
      </c>
      <c r="K61" s="23" t="s">
        <v>8</v>
      </c>
      <c r="L61" s="27"/>
      <c r="M61" s="27"/>
      <c r="N61" s="23"/>
      <c r="O61" s="21"/>
      <c r="P61" s="21"/>
      <c r="Q61" s="21"/>
      <c r="R61" s="21"/>
      <c r="S61" s="21"/>
      <c r="T61" s="21"/>
      <c r="U61" s="21"/>
      <c r="V61" s="43"/>
    </row>
    <row r="62" spans="1:22" ht="20.100000000000001" customHeight="1" x14ac:dyDescent="0.25">
      <c r="A62" s="171"/>
      <c r="B62" s="196">
        <f t="shared" si="2"/>
        <v>9</v>
      </c>
      <c r="C62" s="133" t="s">
        <v>243</v>
      </c>
      <c r="D62" s="212" t="s">
        <v>257</v>
      </c>
      <c r="E62" s="232" t="s">
        <v>8</v>
      </c>
      <c r="F62" s="213">
        <v>45294</v>
      </c>
      <c r="G62" s="23"/>
      <c r="H62" s="23" t="s">
        <v>244</v>
      </c>
      <c r="I62" s="26">
        <v>45294</v>
      </c>
      <c r="J62" s="26">
        <v>45299</v>
      </c>
      <c r="K62" s="23" t="s">
        <v>8</v>
      </c>
      <c r="L62" s="27"/>
      <c r="M62" s="27"/>
      <c r="N62" s="23"/>
      <c r="O62" s="21"/>
      <c r="P62" s="21"/>
      <c r="Q62" s="21"/>
      <c r="R62" s="21"/>
      <c r="S62" s="21"/>
      <c r="T62" s="21"/>
      <c r="U62" s="21"/>
      <c r="V62" s="43"/>
    </row>
    <row r="63" spans="1:22" ht="20.100000000000001" customHeight="1" x14ac:dyDescent="0.25">
      <c r="A63" s="171"/>
      <c r="B63" s="199">
        <f t="shared" si="2"/>
        <v>10</v>
      </c>
      <c r="C63" s="127" t="s">
        <v>285</v>
      </c>
      <c r="D63" s="212" t="s">
        <v>286</v>
      </c>
      <c r="E63" s="232" t="s">
        <v>9</v>
      </c>
      <c r="F63" s="213">
        <v>45254</v>
      </c>
      <c r="G63" s="23"/>
      <c r="H63" s="23" t="s">
        <v>244</v>
      </c>
      <c r="I63" s="26">
        <v>45254</v>
      </c>
      <c r="J63" s="26">
        <v>45272</v>
      </c>
      <c r="K63" s="59" t="s">
        <v>9</v>
      </c>
      <c r="L63" s="27"/>
      <c r="M63" s="27"/>
      <c r="N63" s="23"/>
      <c r="O63" s="21"/>
      <c r="P63" s="21"/>
      <c r="Q63" s="61"/>
      <c r="R63" s="21"/>
      <c r="S63" s="21"/>
      <c r="T63" s="21"/>
      <c r="U63" s="21"/>
      <c r="V63" s="43"/>
    </row>
    <row r="64" spans="1:22" ht="20.100000000000001" customHeight="1" x14ac:dyDescent="0.25">
      <c r="A64" s="171"/>
      <c r="B64" s="199">
        <f t="shared" si="2"/>
        <v>11</v>
      </c>
      <c r="C64" s="151" t="s">
        <v>386</v>
      </c>
      <c r="D64" s="176" t="s">
        <v>387</v>
      </c>
      <c r="E64" s="232" t="s">
        <v>11</v>
      </c>
      <c r="F64" s="213">
        <v>45498</v>
      </c>
      <c r="G64" s="23"/>
      <c r="H64" s="23" t="s">
        <v>388</v>
      </c>
      <c r="I64" s="26">
        <v>45455</v>
      </c>
      <c r="J64" s="26">
        <v>45470</v>
      </c>
      <c r="K64" s="23" t="s">
        <v>10</v>
      </c>
      <c r="L64" s="205">
        <v>45484</v>
      </c>
      <c r="M64" s="205">
        <v>45491</v>
      </c>
      <c r="N64" s="23" t="s">
        <v>10</v>
      </c>
      <c r="O64" s="205">
        <v>45498</v>
      </c>
      <c r="P64" s="205"/>
      <c r="Q64" s="177" t="s">
        <v>11</v>
      </c>
      <c r="R64" s="21"/>
      <c r="S64" s="21"/>
      <c r="T64" s="21"/>
      <c r="U64" s="21"/>
      <c r="V64" s="43"/>
    </row>
    <row r="65" spans="1:22" ht="20.100000000000001" customHeight="1" x14ac:dyDescent="0.25">
      <c r="A65" s="171"/>
      <c r="B65" s="199">
        <f t="shared" si="2"/>
        <v>12</v>
      </c>
      <c r="C65" s="151" t="s">
        <v>474</v>
      </c>
      <c r="D65" s="176" t="s">
        <v>387</v>
      </c>
      <c r="E65" s="232" t="s">
        <v>8</v>
      </c>
      <c r="F65" s="213">
        <v>45575</v>
      </c>
      <c r="G65" s="23"/>
      <c r="H65" s="23" t="s">
        <v>475</v>
      </c>
      <c r="I65" s="26">
        <v>45575</v>
      </c>
      <c r="J65" s="26">
        <v>45596</v>
      </c>
      <c r="K65" s="23" t="s">
        <v>10</v>
      </c>
      <c r="L65" s="27">
        <v>45608</v>
      </c>
      <c r="M65" s="27">
        <v>45617</v>
      </c>
      <c r="N65" s="23" t="s">
        <v>8</v>
      </c>
      <c r="O65" s="205"/>
      <c r="P65" s="21"/>
      <c r="Q65" s="210"/>
      <c r="R65" s="21"/>
      <c r="S65" s="21"/>
      <c r="T65" s="21"/>
      <c r="U65" s="21"/>
      <c r="V65" s="43"/>
    </row>
    <row r="66" spans="1:22" ht="20.100000000000001" customHeight="1" x14ac:dyDescent="0.25">
      <c r="A66" s="171"/>
      <c r="B66" s="199">
        <f t="shared" si="2"/>
        <v>13</v>
      </c>
      <c r="C66" s="151" t="s">
        <v>511</v>
      </c>
      <c r="D66" s="176" t="s">
        <v>512</v>
      </c>
      <c r="E66" s="232" t="s">
        <v>8</v>
      </c>
      <c r="F66" s="213"/>
      <c r="G66" s="23"/>
      <c r="H66" s="23" t="s">
        <v>543</v>
      </c>
      <c r="I66" s="26">
        <v>45633</v>
      </c>
      <c r="J66" s="26">
        <v>45645</v>
      </c>
      <c r="K66" s="23" t="s">
        <v>10</v>
      </c>
      <c r="L66" s="27">
        <v>45649</v>
      </c>
      <c r="M66" s="27">
        <v>45652</v>
      </c>
      <c r="N66" s="23" t="s">
        <v>8</v>
      </c>
      <c r="O66" s="205"/>
      <c r="P66" s="21"/>
      <c r="Q66" s="211"/>
      <c r="R66" s="21"/>
      <c r="S66" s="21"/>
      <c r="T66" s="21"/>
      <c r="U66" s="21"/>
      <c r="V66" s="43"/>
    </row>
    <row r="67" spans="1:22" ht="20.100000000000001" customHeight="1" thickBot="1" x14ac:dyDescent="0.3">
      <c r="A67" s="171"/>
      <c r="B67" s="237">
        <f t="shared" si="2"/>
        <v>14</v>
      </c>
      <c r="C67" s="238" t="s">
        <v>633</v>
      </c>
      <c r="D67" s="239" t="s">
        <v>387</v>
      </c>
      <c r="E67" s="240" t="s">
        <v>10</v>
      </c>
      <c r="F67" s="241"/>
      <c r="G67" s="160"/>
      <c r="H67" s="160" t="s">
        <v>634</v>
      </c>
      <c r="I67" s="161">
        <v>45678</v>
      </c>
      <c r="J67" s="161">
        <v>45687</v>
      </c>
      <c r="K67" s="160" t="s">
        <v>10</v>
      </c>
      <c r="L67" s="242"/>
      <c r="M67" s="242"/>
      <c r="N67" s="160"/>
      <c r="O67" s="243"/>
      <c r="P67" s="162"/>
      <c r="Q67" s="244"/>
      <c r="R67" s="162"/>
      <c r="S67" s="162"/>
      <c r="T67" s="162"/>
      <c r="U67" s="162"/>
      <c r="V67" s="245"/>
    </row>
    <row r="68" spans="1:22" ht="20.100000000000001" customHeight="1" x14ac:dyDescent="0.25">
      <c r="B68" s="200" t="s">
        <v>10</v>
      </c>
      <c r="C68" s="144" t="s">
        <v>213</v>
      </c>
      <c r="D68" s="219"/>
      <c r="E68" s="145"/>
      <c r="F68" s="125"/>
      <c r="G68" s="97"/>
      <c r="H68" s="97"/>
      <c r="I68" s="97"/>
      <c r="J68" s="97"/>
      <c r="K68" s="98"/>
      <c r="L68" s="97"/>
      <c r="M68" s="97"/>
      <c r="N68" s="98"/>
      <c r="O68" s="97"/>
      <c r="P68" s="97"/>
      <c r="Q68" s="98"/>
      <c r="R68" s="97"/>
      <c r="S68" s="97"/>
      <c r="T68" s="98"/>
      <c r="U68" s="97"/>
      <c r="V68" s="99"/>
    </row>
    <row r="69" spans="1:22" ht="20.100000000000001" customHeight="1" x14ac:dyDescent="0.25">
      <c r="B69" s="199">
        <v>1</v>
      </c>
      <c r="C69" s="128" t="s">
        <v>279</v>
      </c>
      <c r="D69" s="220" t="s">
        <v>260</v>
      </c>
      <c r="E69" s="232" t="s">
        <v>8</v>
      </c>
      <c r="F69" s="224">
        <v>45349</v>
      </c>
      <c r="G69" s="23"/>
      <c r="H69" s="23" t="s">
        <v>261</v>
      </c>
      <c r="I69" s="26">
        <v>45297</v>
      </c>
      <c r="J69" s="26">
        <v>45302</v>
      </c>
      <c r="K69" s="23" t="s">
        <v>10</v>
      </c>
      <c r="L69" s="27">
        <v>45349</v>
      </c>
      <c r="M69" s="27">
        <v>45356</v>
      </c>
      <c r="N69" s="23" t="s">
        <v>8</v>
      </c>
      <c r="O69" s="23"/>
      <c r="P69" s="23"/>
      <c r="Q69" s="23"/>
      <c r="R69" s="23"/>
      <c r="S69" s="23"/>
      <c r="T69" s="23"/>
      <c r="U69" s="21"/>
      <c r="V69" s="43"/>
    </row>
    <row r="70" spans="1:22" ht="20.100000000000001" customHeight="1" x14ac:dyDescent="0.25">
      <c r="B70" s="199">
        <v>2</v>
      </c>
      <c r="C70" s="128" t="s">
        <v>278</v>
      </c>
      <c r="D70" s="220" t="s">
        <v>258</v>
      </c>
      <c r="E70" s="232" t="s">
        <v>8</v>
      </c>
      <c r="F70" s="224">
        <v>45349</v>
      </c>
      <c r="G70" s="23"/>
      <c r="H70" s="23" t="s">
        <v>259</v>
      </c>
      <c r="I70" s="26">
        <v>45297</v>
      </c>
      <c r="J70" s="26">
        <v>45302</v>
      </c>
      <c r="K70" s="23" t="s">
        <v>10</v>
      </c>
      <c r="L70" s="27">
        <v>45349</v>
      </c>
      <c r="M70" s="27">
        <v>45356</v>
      </c>
      <c r="N70" s="23" t="s">
        <v>8</v>
      </c>
      <c r="O70" s="23"/>
      <c r="P70" s="23"/>
      <c r="Q70" s="23"/>
      <c r="R70" s="23"/>
      <c r="S70" s="23"/>
      <c r="T70" s="23"/>
      <c r="U70" s="21"/>
      <c r="V70" s="43"/>
    </row>
    <row r="71" spans="1:22" ht="20.100000000000001" customHeight="1" x14ac:dyDescent="0.25">
      <c r="B71" s="199">
        <v>3</v>
      </c>
      <c r="C71" s="128" t="s">
        <v>380</v>
      </c>
      <c r="D71" s="220" t="s">
        <v>381</v>
      </c>
      <c r="E71" s="232" t="s">
        <v>10</v>
      </c>
      <c r="F71" s="224">
        <v>45505</v>
      </c>
      <c r="G71" s="23"/>
      <c r="H71" s="23" t="s">
        <v>382</v>
      </c>
      <c r="I71" s="26">
        <v>45439</v>
      </c>
      <c r="J71" s="26">
        <v>45483</v>
      </c>
      <c r="K71" s="23" t="s">
        <v>10</v>
      </c>
      <c r="L71" s="27">
        <v>45505</v>
      </c>
      <c r="M71" s="27">
        <v>45512</v>
      </c>
      <c r="N71" s="23" t="s">
        <v>10</v>
      </c>
      <c r="O71" s="23"/>
      <c r="P71" s="23"/>
      <c r="Q71" s="23"/>
      <c r="R71" s="23"/>
      <c r="S71" s="23"/>
      <c r="T71" s="23"/>
      <c r="U71" s="21"/>
      <c r="V71" s="43"/>
    </row>
    <row r="72" spans="1:22" ht="20.100000000000001" customHeight="1" x14ac:dyDescent="0.25">
      <c r="B72" s="199">
        <v>4</v>
      </c>
      <c r="C72" s="128" t="s">
        <v>384</v>
      </c>
      <c r="D72" s="220" t="s">
        <v>383</v>
      </c>
      <c r="E72" s="232" t="s">
        <v>10</v>
      </c>
      <c r="F72" s="213">
        <v>45446</v>
      </c>
      <c r="G72" s="23"/>
      <c r="H72" s="23" t="s">
        <v>385</v>
      </c>
      <c r="I72" s="26">
        <v>45446</v>
      </c>
      <c r="J72" s="26">
        <v>45470</v>
      </c>
      <c r="K72" s="23" t="s">
        <v>10</v>
      </c>
      <c r="L72" s="27"/>
      <c r="M72" s="27"/>
      <c r="N72" s="23"/>
      <c r="O72" s="23"/>
      <c r="P72" s="23"/>
      <c r="Q72" s="23"/>
      <c r="R72" s="23"/>
      <c r="S72" s="23"/>
      <c r="T72" s="23"/>
      <c r="U72" s="21"/>
      <c r="V72" s="43"/>
    </row>
    <row r="73" spans="1:22" ht="20.100000000000001" customHeight="1" x14ac:dyDescent="0.25">
      <c r="B73" s="199">
        <v>5</v>
      </c>
      <c r="C73" s="128" t="s">
        <v>482</v>
      </c>
      <c r="D73" s="176" t="s">
        <v>387</v>
      </c>
      <c r="E73" s="232" t="s">
        <v>8</v>
      </c>
      <c r="F73" s="213"/>
      <c r="G73" s="23"/>
      <c r="H73" s="23" t="s">
        <v>483</v>
      </c>
      <c r="I73" s="26">
        <v>45586</v>
      </c>
      <c r="J73" s="26">
        <v>45596</v>
      </c>
      <c r="K73" s="59" t="s">
        <v>9</v>
      </c>
      <c r="L73" s="27">
        <v>45608</v>
      </c>
      <c r="M73" s="27">
        <v>45617</v>
      </c>
      <c r="N73" s="23" t="s">
        <v>8</v>
      </c>
      <c r="O73" s="23"/>
      <c r="P73" s="23"/>
      <c r="Q73" s="23"/>
      <c r="R73" s="23"/>
      <c r="S73" s="23"/>
      <c r="T73" s="23"/>
      <c r="U73" s="21"/>
      <c r="V73" s="43"/>
    </row>
    <row r="74" spans="1:22" ht="20.100000000000001" customHeight="1" x14ac:dyDescent="0.25">
      <c r="B74" s="201" t="s">
        <v>25</v>
      </c>
      <c r="C74" s="148" t="s">
        <v>215</v>
      </c>
      <c r="D74" s="221"/>
      <c r="E74" s="231"/>
      <c r="F74" s="226"/>
      <c r="G74" s="111"/>
      <c r="H74" s="111"/>
      <c r="I74" s="111"/>
      <c r="J74" s="111"/>
      <c r="K74" s="98"/>
      <c r="L74" s="111"/>
      <c r="M74" s="111"/>
      <c r="N74" s="112"/>
      <c r="O74" s="111"/>
      <c r="P74" s="111"/>
      <c r="Q74" s="112"/>
      <c r="R74" s="111"/>
      <c r="S74" s="111"/>
      <c r="T74" s="112"/>
      <c r="U74" s="111"/>
      <c r="V74" s="113"/>
    </row>
    <row r="75" spans="1:22" ht="20.100000000000001" customHeight="1" x14ac:dyDescent="0.25">
      <c r="A75" s="171"/>
      <c r="B75" s="199">
        <f>MAX(B74)+1</f>
        <v>1</v>
      </c>
      <c r="C75" s="127" t="s">
        <v>80</v>
      </c>
      <c r="D75" s="222"/>
      <c r="E75" s="232" t="s">
        <v>141</v>
      </c>
      <c r="F75" s="126"/>
      <c r="G75" s="23" t="s">
        <v>74</v>
      </c>
      <c r="H75" s="24" t="s">
        <v>81</v>
      </c>
      <c r="I75" s="26"/>
      <c r="J75" s="26"/>
      <c r="K75" s="23"/>
      <c r="L75" s="26"/>
      <c r="M75" s="26"/>
      <c r="N75" s="23"/>
      <c r="O75" s="23"/>
      <c r="P75" s="23"/>
      <c r="Q75" s="23"/>
      <c r="R75" s="23"/>
      <c r="S75" s="23"/>
      <c r="T75" s="23"/>
      <c r="U75" s="21"/>
      <c r="V75" s="43"/>
    </row>
    <row r="76" spans="1:22" ht="20.100000000000001" customHeight="1" thickBot="1" x14ac:dyDescent="0.3">
      <c r="B76" s="146"/>
      <c r="C76" s="149"/>
      <c r="D76" s="223"/>
      <c r="E76" s="236"/>
      <c r="F76" s="14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9"/>
      <c r="V76" s="20"/>
    </row>
    <row r="77" spans="1:22" ht="30" customHeight="1" x14ac:dyDescent="0.25">
      <c r="B77" s="9"/>
      <c r="C77" s="10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1"/>
      <c r="V77" s="1"/>
    </row>
    <row r="78" spans="1:22" ht="30" customHeight="1" x14ac:dyDescent="0.25">
      <c r="B78" s="11"/>
      <c r="C78" s="2"/>
      <c r="D78" s="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1"/>
      <c r="V78" s="1"/>
    </row>
    <row r="79" spans="1:22" ht="30" customHeight="1" x14ac:dyDescent="0.25">
      <c r="B79" s="9"/>
      <c r="C79" s="10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1"/>
      <c r="V79" s="1"/>
    </row>
    <row r="80" spans="1:22" ht="30" customHeight="1" x14ac:dyDescent="0.25">
      <c r="B80" s="9"/>
      <c r="C80" s="10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1"/>
      <c r="V80" s="1"/>
    </row>
    <row r="81" spans="2:22" ht="30" customHeight="1" x14ac:dyDescent="0.25">
      <c r="B81" s="9"/>
      <c r="C81" s="10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1"/>
      <c r="V81" s="1"/>
    </row>
    <row r="82" spans="2:22" ht="30" customHeight="1" x14ac:dyDescent="0.25">
      <c r="B82" s="11"/>
      <c r="C82" s="2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1"/>
      <c r="V82" s="1"/>
    </row>
    <row r="83" spans="2:22" ht="30" customHeight="1" x14ac:dyDescent="0.25">
      <c r="B83" s="9"/>
      <c r="C83" s="10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1"/>
      <c r="V83" s="1"/>
    </row>
    <row r="84" spans="2:22" ht="30" customHeight="1" x14ac:dyDescent="0.25">
      <c r="B84" s="9"/>
      <c r="C84" s="10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1"/>
      <c r="V84" s="1"/>
    </row>
    <row r="85" spans="2:22" ht="30" customHeight="1" x14ac:dyDescent="0.25">
      <c r="B85" s="9"/>
      <c r="C85" s="10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1"/>
      <c r="V85" s="1"/>
    </row>
    <row r="86" spans="2:22" ht="30" customHeight="1" x14ac:dyDescent="0.25">
      <c r="B86" s="11"/>
      <c r="C86" s="2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1"/>
      <c r="V86" s="1"/>
    </row>
    <row r="87" spans="2:22" ht="30" customHeight="1" x14ac:dyDescent="0.25">
      <c r="B87" s="9"/>
      <c r="C87" s="10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1"/>
      <c r="V87" s="1"/>
    </row>
    <row r="88" spans="2:22" ht="30" customHeight="1" x14ac:dyDescent="0.25">
      <c r="B88" s="9"/>
      <c r="C88" s="10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1"/>
      <c r="V88" s="1"/>
    </row>
    <row r="89" spans="2:22" ht="30" customHeight="1" x14ac:dyDescent="0.25">
      <c r="B89" s="9"/>
      <c r="C89" s="10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1"/>
      <c r="V89" s="1"/>
    </row>
    <row r="90" spans="2:22" ht="30" customHeight="1" x14ac:dyDescent="0.25">
      <c r="B90" s="11"/>
      <c r="C90" s="2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1"/>
      <c r="V90" s="1"/>
    </row>
    <row r="91" spans="2:22" ht="30" customHeight="1" x14ac:dyDescent="0.25">
      <c r="B91" s="9"/>
      <c r="C91" s="10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1"/>
      <c r="V91" s="1"/>
    </row>
    <row r="92" spans="2:22" ht="30" customHeight="1" x14ac:dyDescent="0.25">
      <c r="B92" s="9"/>
      <c r="C92" s="10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1"/>
      <c r="V92" s="1"/>
    </row>
    <row r="93" spans="2:22" ht="30" customHeight="1" x14ac:dyDescent="0.25">
      <c r="B93" s="9"/>
      <c r="C93" s="10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1"/>
      <c r="V93" s="1"/>
    </row>
    <row r="94" spans="2:22" ht="30" customHeight="1" x14ac:dyDescent="0.25">
      <c r="B94" s="11"/>
      <c r="C94" s="2"/>
      <c r="D94" s="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1"/>
      <c r="V94" s="1"/>
    </row>
    <row r="95" spans="2:22" ht="30" customHeight="1" x14ac:dyDescent="0.25">
      <c r="B95" s="9" t="str">
        <f>IF(C95="","",MAX($B$12:B94)+1)</f>
        <v/>
      </c>
      <c r="C95" s="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1"/>
      <c r="V95" s="1"/>
    </row>
    <row r="96" spans="2:22" ht="30" customHeight="1" x14ac:dyDescent="0.25">
      <c r="B96" s="4"/>
      <c r="C96" s="1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2:22" ht="30" customHeight="1" x14ac:dyDescent="0.25">
      <c r="B97" s="4"/>
      <c r="C97" s="1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2:22" ht="30" customHeight="1" x14ac:dyDescent="0.25">
      <c r="B98" s="4"/>
      <c r="C98" s="1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2:22" ht="30" customHeight="1" x14ac:dyDescent="0.25">
      <c r="B99" s="4"/>
      <c r="C99" s="1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2:22" ht="30" customHeight="1" x14ac:dyDescent="0.25">
      <c r="B100" s="4"/>
      <c r="C100" s="1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2:22" ht="30" customHeight="1" x14ac:dyDescent="0.25">
      <c r="B101" s="4"/>
      <c r="C101" s="1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2:22" ht="30" customHeight="1" x14ac:dyDescent="0.25">
      <c r="B102" s="4"/>
      <c r="C102" s="1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2:22" ht="30" customHeight="1" x14ac:dyDescent="0.25">
      <c r="B103" s="4"/>
      <c r="C103" s="1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2:22" ht="30" customHeight="1" x14ac:dyDescent="0.25">
      <c r="B104" s="4"/>
      <c r="C104" s="1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2:22" ht="30" customHeight="1" x14ac:dyDescent="0.25">
      <c r="B105" s="4"/>
      <c r="C105" s="1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2:22" ht="30" customHeight="1" x14ac:dyDescent="0.25">
      <c r="B106" s="4"/>
      <c r="C106" s="1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2:22" ht="30" customHeight="1" x14ac:dyDescent="0.25">
      <c r="B107" s="4"/>
      <c r="C107" s="1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2:22" ht="30" customHeight="1" x14ac:dyDescent="0.25">
      <c r="B108" s="4"/>
      <c r="C108" s="1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2:22" ht="30" customHeight="1" x14ac:dyDescent="0.25">
      <c r="B109" s="4"/>
      <c r="C109" s="1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2:22" ht="30" customHeight="1" x14ac:dyDescent="0.25">
      <c r="B110" s="4"/>
      <c r="C110" s="1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2:22" ht="30" customHeight="1" x14ac:dyDescent="0.25">
      <c r="B111" s="4"/>
      <c r="C111" s="1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2:22" ht="30" customHeight="1" x14ac:dyDescent="0.25">
      <c r="B112" s="4"/>
      <c r="C112" s="1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2:22" ht="30" customHeight="1" x14ac:dyDescent="0.25">
      <c r="B113" s="4"/>
      <c r="C113" s="1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2:22" ht="30" customHeight="1" x14ac:dyDescent="0.25">
      <c r="B114" s="4"/>
      <c r="C114" s="1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2:22" ht="30" customHeight="1" x14ac:dyDescent="0.25">
      <c r="B115" s="4"/>
      <c r="C115" s="1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2:22" ht="30" customHeight="1" x14ac:dyDescent="0.25">
      <c r="B116" s="4"/>
      <c r="C116" s="1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2:22" ht="30" customHeight="1" x14ac:dyDescent="0.25">
      <c r="B117" s="4"/>
      <c r="C117" s="1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2:22" ht="30" customHeight="1" x14ac:dyDescent="0.25">
      <c r="B118" s="4"/>
      <c r="C118" s="1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2:22" ht="30" customHeight="1" x14ac:dyDescent="0.25">
      <c r="B119" s="4"/>
      <c r="C119" s="1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2:22" ht="30" customHeight="1" x14ac:dyDescent="0.25">
      <c r="B120" s="4"/>
      <c r="C120" s="1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2:22" ht="30" customHeight="1" x14ac:dyDescent="0.25">
      <c r="B121" s="4"/>
      <c r="C121" s="1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2:22" ht="30" customHeight="1" x14ac:dyDescent="0.25">
      <c r="B122" s="4"/>
      <c r="C122" s="1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2:22" ht="30" customHeight="1" x14ac:dyDescent="0.25">
      <c r="B123" s="6"/>
    </row>
    <row r="124" spans="2:22" ht="30" customHeight="1" x14ac:dyDescent="0.25">
      <c r="B124" s="6"/>
    </row>
    <row r="125" spans="2:22" ht="30" customHeight="1" x14ac:dyDescent="0.25">
      <c r="B125" s="6"/>
    </row>
    <row r="126" spans="2:22" ht="30" customHeight="1" x14ac:dyDescent="0.25">
      <c r="B126" s="6"/>
    </row>
    <row r="127" spans="2:22" ht="30" customHeight="1" x14ac:dyDescent="0.25">
      <c r="B127" s="6"/>
    </row>
    <row r="128" spans="2:22" ht="30" customHeight="1" x14ac:dyDescent="0.25">
      <c r="B128" s="6"/>
    </row>
    <row r="129" spans="2:2" ht="30" customHeight="1" x14ac:dyDescent="0.25">
      <c r="B129" s="6"/>
    </row>
    <row r="130" spans="2:2" ht="30" customHeight="1" x14ac:dyDescent="0.25">
      <c r="B130" s="6"/>
    </row>
    <row r="131" spans="2:2" ht="30" customHeight="1" x14ac:dyDescent="0.25">
      <c r="B131" s="6"/>
    </row>
    <row r="132" spans="2:2" ht="30" customHeight="1" x14ac:dyDescent="0.25">
      <c r="B132" s="6"/>
    </row>
    <row r="133" spans="2:2" ht="30" customHeight="1" x14ac:dyDescent="0.25">
      <c r="B133" s="6"/>
    </row>
    <row r="134" spans="2:2" ht="30" customHeight="1" x14ac:dyDescent="0.25">
      <c r="B134" s="6"/>
    </row>
    <row r="135" spans="2:2" ht="30" customHeight="1" x14ac:dyDescent="0.25">
      <c r="B135" s="6"/>
    </row>
    <row r="136" spans="2:2" ht="30" customHeight="1" x14ac:dyDescent="0.25">
      <c r="B136" s="6"/>
    </row>
    <row r="137" spans="2:2" ht="30" customHeight="1" x14ac:dyDescent="0.25">
      <c r="B137" s="6"/>
    </row>
    <row r="138" spans="2:2" ht="30" customHeight="1" x14ac:dyDescent="0.25">
      <c r="B138" s="6"/>
    </row>
    <row r="139" spans="2:2" ht="30" customHeight="1" x14ac:dyDescent="0.25">
      <c r="B139" s="6"/>
    </row>
    <row r="140" spans="2:2" ht="30" customHeight="1" x14ac:dyDescent="0.25">
      <c r="B140" s="6"/>
    </row>
    <row r="141" spans="2:2" ht="30" customHeight="1" x14ac:dyDescent="0.25">
      <c r="B141" s="6"/>
    </row>
    <row r="142" spans="2:2" ht="30" customHeight="1" x14ac:dyDescent="0.25">
      <c r="B142" s="6"/>
    </row>
    <row r="143" spans="2:2" ht="30" customHeight="1" x14ac:dyDescent="0.25">
      <c r="B143" s="6"/>
    </row>
    <row r="144" spans="2:2" ht="30" customHeight="1" x14ac:dyDescent="0.25">
      <c r="B144" s="6"/>
    </row>
    <row r="145" spans="2:2" ht="30" customHeight="1" x14ac:dyDescent="0.25">
      <c r="B145" s="6"/>
    </row>
    <row r="146" spans="2:2" ht="30" customHeight="1" x14ac:dyDescent="0.25">
      <c r="B146" s="6"/>
    </row>
    <row r="147" spans="2:2" ht="30" customHeight="1" x14ac:dyDescent="0.25">
      <c r="B147" s="6"/>
    </row>
    <row r="148" spans="2:2" ht="30" customHeight="1" x14ac:dyDescent="0.25">
      <c r="B148" s="6"/>
    </row>
    <row r="149" spans="2:2" ht="30" customHeight="1" x14ac:dyDescent="0.25">
      <c r="B149" s="6"/>
    </row>
    <row r="150" spans="2:2" ht="30" customHeight="1" x14ac:dyDescent="0.25">
      <c r="B150" s="6"/>
    </row>
    <row r="151" spans="2:2" ht="30" customHeight="1" x14ac:dyDescent="0.25">
      <c r="B151" s="6"/>
    </row>
    <row r="152" spans="2:2" ht="30" customHeight="1" x14ac:dyDescent="0.25">
      <c r="B152" s="6"/>
    </row>
    <row r="153" spans="2:2" ht="30" customHeight="1" x14ac:dyDescent="0.25">
      <c r="B153" s="6"/>
    </row>
    <row r="154" spans="2:2" ht="30" customHeight="1" x14ac:dyDescent="0.25">
      <c r="B154" s="6"/>
    </row>
    <row r="155" spans="2:2" ht="30" customHeight="1" x14ac:dyDescent="0.25">
      <c r="B155" s="6"/>
    </row>
    <row r="156" spans="2:2" ht="30" customHeight="1" x14ac:dyDescent="0.25">
      <c r="B156" s="6"/>
    </row>
    <row r="157" spans="2:2" ht="30" customHeight="1" x14ac:dyDescent="0.25">
      <c r="B157" s="6"/>
    </row>
    <row r="158" spans="2:2" ht="30" customHeight="1" x14ac:dyDescent="0.25">
      <c r="B158" s="6"/>
    </row>
    <row r="159" spans="2:2" ht="30" customHeight="1" x14ac:dyDescent="0.25">
      <c r="B159" s="6"/>
    </row>
    <row r="160" spans="2:2" ht="30" customHeight="1" x14ac:dyDescent="0.25">
      <c r="B160" s="6"/>
    </row>
    <row r="161" spans="2:2" ht="30" customHeight="1" x14ac:dyDescent="0.25">
      <c r="B161" s="6"/>
    </row>
    <row r="162" spans="2:2" ht="30" customHeight="1" x14ac:dyDescent="0.25">
      <c r="B162" s="6"/>
    </row>
    <row r="163" spans="2:2" ht="30" customHeight="1" x14ac:dyDescent="0.25">
      <c r="B163" s="6"/>
    </row>
    <row r="164" spans="2:2" ht="30" customHeight="1" x14ac:dyDescent="0.25">
      <c r="B164" s="6"/>
    </row>
    <row r="165" spans="2:2" ht="30" customHeight="1" x14ac:dyDescent="0.25">
      <c r="B165" s="6"/>
    </row>
    <row r="166" spans="2:2" ht="30" customHeight="1" x14ac:dyDescent="0.25">
      <c r="B166" s="6"/>
    </row>
    <row r="167" spans="2:2" ht="30" customHeight="1" x14ac:dyDescent="0.25">
      <c r="B167" s="6"/>
    </row>
    <row r="168" spans="2:2" ht="30" customHeight="1" x14ac:dyDescent="0.25">
      <c r="B168" s="6"/>
    </row>
    <row r="169" spans="2:2" ht="30" customHeight="1" x14ac:dyDescent="0.25">
      <c r="B169" s="6"/>
    </row>
    <row r="170" spans="2:2" ht="30" customHeight="1" x14ac:dyDescent="0.25">
      <c r="B170" s="6"/>
    </row>
    <row r="171" spans="2:2" ht="30" customHeight="1" x14ac:dyDescent="0.25">
      <c r="B171" s="6"/>
    </row>
    <row r="172" spans="2:2" ht="30" customHeight="1" x14ac:dyDescent="0.25">
      <c r="B172" s="6"/>
    </row>
    <row r="173" spans="2:2" ht="30" customHeight="1" x14ac:dyDescent="0.25">
      <c r="B173" s="6"/>
    </row>
    <row r="174" spans="2:2" ht="30" customHeight="1" x14ac:dyDescent="0.25">
      <c r="B174" s="6"/>
    </row>
    <row r="175" spans="2:2" ht="30" customHeight="1" x14ac:dyDescent="0.25">
      <c r="B175" s="6"/>
    </row>
    <row r="176" spans="2:2" ht="30" customHeight="1" x14ac:dyDescent="0.25">
      <c r="B176" s="6"/>
    </row>
    <row r="177" spans="2:2" ht="30" customHeight="1" x14ac:dyDescent="0.25">
      <c r="B177" s="6"/>
    </row>
    <row r="178" spans="2:2" ht="30" customHeight="1" x14ac:dyDescent="0.25">
      <c r="B178" s="6"/>
    </row>
    <row r="179" spans="2:2" ht="30" customHeight="1" x14ac:dyDescent="0.25">
      <c r="B179" s="6"/>
    </row>
    <row r="180" spans="2:2" ht="30" customHeight="1" x14ac:dyDescent="0.25">
      <c r="B180" s="6"/>
    </row>
    <row r="181" spans="2:2" ht="30" customHeight="1" x14ac:dyDescent="0.25">
      <c r="B181" s="6"/>
    </row>
    <row r="182" spans="2:2" ht="30" customHeight="1" x14ac:dyDescent="0.25">
      <c r="B182" s="6"/>
    </row>
    <row r="183" spans="2:2" ht="30" customHeight="1" x14ac:dyDescent="0.25">
      <c r="B183" s="6"/>
    </row>
    <row r="184" spans="2:2" ht="30" customHeight="1" x14ac:dyDescent="0.25">
      <c r="B184" s="6"/>
    </row>
    <row r="185" spans="2:2" ht="30" customHeight="1" x14ac:dyDescent="0.25">
      <c r="B185" s="6"/>
    </row>
    <row r="186" spans="2:2" ht="30" customHeight="1" x14ac:dyDescent="0.25">
      <c r="B186" s="6"/>
    </row>
    <row r="187" spans="2:2" ht="30" customHeight="1" x14ac:dyDescent="0.25">
      <c r="B187" s="6"/>
    </row>
    <row r="188" spans="2:2" ht="30" customHeight="1" x14ac:dyDescent="0.25">
      <c r="B188" s="6"/>
    </row>
    <row r="189" spans="2:2" ht="30" customHeight="1" x14ac:dyDescent="0.25">
      <c r="B189" s="6"/>
    </row>
    <row r="190" spans="2:2" ht="30" customHeight="1" x14ac:dyDescent="0.25">
      <c r="B190" s="6"/>
    </row>
    <row r="191" spans="2:2" ht="30" customHeight="1" x14ac:dyDescent="0.25">
      <c r="B191" s="6"/>
    </row>
    <row r="192" spans="2:2" ht="30" customHeight="1" x14ac:dyDescent="0.25">
      <c r="B192" s="6"/>
    </row>
    <row r="193" spans="2:2" ht="30" customHeight="1" x14ac:dyDescent="0.25">
      <c r="B193" s="6"/>
    </row>
    <row r="194" spans="2:2" ht="30" customHeight="1" x14ac:dyDescent="0.25">
      <c r="B194" s="6"/>
    </row>
    <row r="195" spans="2:2" ht="30" customHeight="1" x14ac:dyDescent="0.25">
      <c r="B195" s="6"/>
    </row>
    <row r="196" spans="2:2" ht="30" customHeight="1" x14ac:dyDescent="0.25">
      <c r="B196" s="6"/>
    </row>
    <row r="197" spans="2:2" ht="30" customHeight="1" x14ac:dyDescent="0.25">
      <c r="B197" s="6"/>
    </row>
    <row r="198" spans="2:2" ht="30" customHeight="1" x14ac:dyDescent="0.25">
      <c r="B198" s="6"/>
    </row>
    <row r="199" spans="2:2" ht="30" customHeight="1" x14ac:dyDescent="0.25">
      <c r="B199" s="6"/>
    </row>
    <row r="200" spans="2:2" ht="30" customHeight="1" x14ac:dyDescent="0.25">
      <c r="B200" s="6"/>
    </row>
    <row r="201" spans="2:2" ht="30" customHeight="1" x14ac:dyDescent="0.25">
      <c r="B201" s="6"/>
    </row>
    <row r="202" spans="2:2" ht="30" customHeight="1" x14ac:dyDescent="0.25">
      <c r="B202" s="6"/>
    </row>
    <row r="203" spans="2:2" ht="30" customHeight="1" x14ac:dyDescent="0.25">
      <c r="B203" s="6"/>
    </row>
    <row r="204" spans="2:2" ht="30" customHeight="1" x14ac:dyDescent="0.25">
      <c r="B204" s="6"/>
    </row>
    <row r="205" spans="2:2" ht="30" customHeight="1" x14ac:dyDescent="0.25">
      <c r="B205" s="6"/>
    </row>
    <row r="206" spans="2:2" ht="30" customHeight="1" x14ac:dyDescent="0.25">
      <c r="B206" s="6"/>
    </row>
    <row r="207" spans="2:2" ht="30" customHeight="1" x14ac:dyDescent="0.25">
      <c r="B207" s="6"/>
    </row>
    <row r="208" spans="2:2" ht="30" customHeight="1" x14ac:dyDescent="0.25">
      <c r="B208" s="6"/>
    </row>
    <row r="209" spans="2:2" ht="30" customHeight="1" x14ac:dyDescent="0.25">
      <c r="B209" s="6"/>
    </row>
    <row r="210" spans="2:2" ht="30" customHeight="1" x14ac:dyDescent="0.25">
      <c r="B210" s="6"/>
    </row>
    <row r="211" spans="2:2" ht="30" customHeight="1" x14ac:dyDescent="0.25">
      <c r="B211" s="6"/>
    </row>
    <row r="212" spans="2:2" ht="30" customHeight="1" x14ac:dyDescent="0.25">
      <c r="B212" s="6"/>
    </row>
    <row r="213" spans="2:2" ht="30" customHeight="1" x14ac:dyDescent="0.25">
      <c r="B213" s="6"/>
    </row>
    <row r="214" spans="2:2" ht="30" customHeight="1" x14ac:dyDescent="0.25">
      <c r="B214" s="6"/>
    </row>
    <row r="215" spans="2:2" ht="30" customHeight="1" x14ac:dyDescent="0.25">
      <c r="B215" s="6"/>
    </row>
    <row r="216" spans="2:2" ht="30" customHeight="1" x14ac:dyDescent="0.25">
      <c r="B216" s="6"/>
    </row>
    <row r="217" spans="2:2" ht="30" customHeight="1" x14ac:dyDescent="0.25">
      <c r="B217" s="6"/>
    </row>
    <row r="218" spans="2:2" ht="30" customHeight="1" x14ac:dyDescent="0.25">
      <c r="B218" s="6"/>
    </row>
    <row r="219" spans="2:2" ht="30" customHeight="1" x14ac:dyDescent="0.25">
      <c r="B219" s="6"/>
    </row>
    <row r="220" spans="2:2" ht="30" customHeight="1" x14ac:dyDescent="0.25">
      <c r="B220" s="6"/>
    </row>
    <row r="221" spans="2:2" ht="30" customHeight="1" x14ac:dyDescent="0.25">
      <c r="B221" s="6"/>
    </row>
    <row r="222" spans="2:2" ht="30" customHeight="1" x14ac:dyDescent="0.25">
      <c r="B222" s="6"/>
    </row>
    <row r="223" spans="2:2" ht="30" customHeight="1" x14ac:dyDescent="0.25">
      <c r="B223" s="6"/>
    </row>
    <row r="224" spans="2:2" ht="30" customHeight="1" x14ac:dyDescent="0.25">
      <c r="B224" s="6"/>
    </row>
    <row r="225" spans="2:2" ht="30" customHeight="1" x14ac:dyDescent="0.25">
      <c r="B225" s="6"/>
    </row>
    <row r="226" spans="2:2" ht="30" customHeight="1" x14ac:dyDescent="0.25">
      <c r="B226" s="6"/>
    </row>
    <row r="227" spans="2:2" ht="30" customHeight="1" x14ac:dyDescent="0.25">
      <c r="B227" s="6"/>
    </row>
    <row r="228" spans="2:2" ht="30" customHeight="1" x14ac:dyDescent="0.25">
      <c r="B228" s="6"/>
    </row>
    <row r="229" spans="2:2" ht="30" customHeight="1" x14ac:dyDescent="0.25">
      <c r="B229" s="6"/>
    </row>
    <row r="230" spans="2:2" ht="30" customHeight="1" x14ac:dyDescent="0.25">
      <c r="B230" s="6"/>
    </row>
    <row r="231" spans="2:2" ht="30" customHeight="1" x14ac:dyDescent="0.25">
      <c r="B231" s="6"/>
    </row>
    <row r="232" spans="2:2" ht="30" customHeight="1" x14ac:dyDescent="0.25">
      <c r="B232" s="6"/>
    </row>
    <row r="233" spans="2:2" ht="30" customHeight="1" x14ac:dyDescent="0.25">
      <c r="B233" s="6"/>
    </row>
    <row r="234" spans="2:2" ht="30" customHeight="1" x14ac:dyDescent="0.25">
      <c r="B234" s="6"/>
    </row>
    <row r="235" spans="2:2" ht="30" customHeight="1" x14ac:dyDescent="0.25">
      <c r="B235" s="6"/>
    </row>
    <row r="236" spans="2:2" ht="30" customHeight="1" x14ac:dyDescent="0.25">
      <c r="B236" s="6"/>
    </row>
    <row r="237" spans="2:2" ht="30" customHeight="1" x14ac:dyDescent="0.25">
      <c r="B237" s="6"/>
    </row>
    <row r="238" spans="2:2" ht="30" customHeight="1" x14ac:dyDescent="0.25">
      <c r="B238" s="6"/>
    </row>
    <row r="239" spans="2:2" ht="30" customHeight="1" x14ac:dyDescent="0.25">
      <c r="B239" s="6"/>
    </row>
    <row r="240" spans="2:2" ht="30" customHeight="1" x14ac:dyDescent="0.25">
      <c r="B240" s="6"/>
    </row>
    <row r="241" spans="2:2" ht="30" customHeight="1" x14ac:dyDescent="0.25">
      <c r="B241" s="6"/>
    </row>
    <row r="242" spans="2:2" ht="30" customHeight="1" x14ac:dyDescent="0.25">
      <c r="B242" s="6"/>
    </row>
    <row r="243" spans="2:2" ht="30" customHeight="1" x14ac:dyDescent="0.25">
      <c r="B243" s="6"/>
    </row>
    <row r="244" spans="2:2" ht="30" customHeight="1" x14ac:dyDescent="0.25">
      <c r="B244" s="6"/>
    </row>
    <row r="245" spans="2:2" ht="30" customHeight="1" x14ac:dyDescent="0.25">
      <c r="B245" s="6"/>
    </row>
    <row r="246" spans="2:2" ht="30" customHeight="1" x14ac:dyDescent="0.25">
      <c r="B246" s="6"/>
    </row>
    <row r="247" spans="2:2" ht="30" customHeight="1" x14ac:dyDescent="0.25">
      <c r="B247" s="6"/>
    </row>
    <row r="248" spans="2:2" ht="30" customHeight="1" x14ac:dyDescent="0.25">
      <c r="B248" s="6"/>
    </row>
    <row r="249" spans="2:2" ht="30" customHeight="1" x14ac:dyDescent="0.25">
      <c r="B249" s="6"/>
    </row>
    <row r="250" spans="2:2" ht="30" customHeight="1" x14ac:dyDescent="0.25">
      <c r="B250" s="6"/>
    </row>
    <row r="251" spans="2:2" ht="30" customHeight="1" x14ac:dyDescent="0.25">
      <c r="B251" s="6"/>
    </row>
    <row r="252" spans="2:2" ht="30" customHeight="1" x14ac:dyDescent="0.25">
      <c r="B252" s="6"/>
    </row>
    <row r="253" spans="2:2" ht="30" customHeight="1" x14ac:dyDescent="0.25">
      <c r="B253" s="6"/>
    </row>
    <row r="254" spans="2:2" ht="30" customHeight="1" x14ac:dyDescent="0.25">
      <c r="B254" s="6"/>
    </row>
    <row r="255" spans="2:2" ht="30" customHeight="1" x14ac:dyDescent="0.25">
      <c r="B255" s="6"/>
    </row>
    <row r="256" spans="2:2" ht="30" customHeight="1" x14ac:dyDescent="0.25">
      <c r="B256" s="6"/>
    </row>
    <row r="257" spans="2:2" ht="30" customHeight="1" x14ac:dyDescent="0.25">
      <c r="B257" s="6"/>
    </row>
    <row r="258" spans="2:2" ht="30" customHeight="1" x14ac:dyDescent="0.25">
      <c r="B258" s="6"/>
    </row>
    <row r="259" spans="2:2" ht="30" customHeight="1" x14ac:dyDescent="0.25">
      <c r="B259" s="6"/>
    </row>
    <row r="260" spans="2:2" ht="30" customHeight="1" x14ac:dyDescent="0.25">
      <c r="B260" s="6"/>
    </row>
    <row r="261" spans="2:2" ht="30" customHeight="1" x14ac:dyDescent="0.25">
      <c r="B261" s="6"/>
    </row>
    <row r="262" spans="2:2" ht="30" customHeight="1" x14ac:dyDescent="0.25">
      <c r="B262" s="6"/>
    </row>
    <row r="263" spans="2:2" ht="30" customHeight="1" x14ac:dyDescent="0.25">
      <c r="B263" s="6"/>
    </row>
    <row r="264" spans="2:2" ht="30" customHeight="1" x14ac:dyDescent="0.25">
      <c r="B264" s="6"/>
    </row>
    <row r="265" spans="2:2" ht="30" customHeight="1" x14ac:dyDescent="0.25">
      <c r="B265" s="6"/>
    </row>
    <row r="266" spans="2:2" ht="30" customHeight="1" x14ac:dyDescent="0.25">
      <c r="B266" s="6"/>
    </row>
    <row r="267" spans="2:2" ht="30" customHeight="1" x14ac:dyDescent="0.25">
      <c r="B267" s="6"/>
    </row>
    <row r="268" spans="2:2" ht="30" customHeight="1" x14ac:dyDescent="0.25">
      <c r="B268" s="6"/>
    </row>
    <row r="269" spans="2:2" ht="30" customHeight="1" x14ac:dyDescent="0.25">
      <c r="B269" s="6"/>
    </row>
    <row r="270" spans="2:2" ht="30" customHeight="1" x14ac:dyDescent="0.25">
      <c r="B270" s="6"/>
    </row>
    <row r="271" spans="2:2" ht="30" customHeight="1" x14ac:dyDescent="0.25">
      <c r="B271" s="6"/>
    </row>
    <row r="272" spans="2:2" ht="30" customHeight="1" x14ac:dyDescent="0.25">
      <c r="B272" s="6"/>
    </row>
    <row r="273" spans="2:2" ht="30" customHeight="1" x14ac:dyDescent="0.25">
      <c r="B273" s="6"/>
    </row>
    <row r="274" spans="2:2" ht="30" customHeight="1" x14ac:dyDescent="0.25">
      <c r="B274" s="6"/>
    </row>
    <row r="275" spans="2:2" ht="30" customHeight="1" x14ac:dyDescent="0.25">
      <c r="B275" s="6"/>
    </row>
    <row r="276" spans="2:2" ht="30" customHeight="1" x14ac:dyDescent="0.25">
      <c r="B276" s="6"/>
    </row>
    <row r="277" spans="2:2" ht="30" customHeight="1" x14ac:dyDescent="0.25">
      <c r="B277" s="6"/>
    </row>
    <row r="278" spans="2:2" ht="30" customHeight="1" x14ac:dyDescent="0.25">
      <c r="B278" s="6"/>
    </row>
    <row r="279" spans="2:2" ht="30" customHeight="1" x14ac:dyDescent="0.25">
      <c r="B279" s="6"/>
    </row>
    <row r="280" spans="2:2" ht="30" customHeight="1" x14ac:dyDescent="0.25">
      <c r="B280" s="6"/>
    </row>
    <row r="281" spans="2:2" ht="30" customHeight="1" x14ac:dyDescent="0.25">
      <c r="B281" s="6"/>
    </row>
    <row r="282" spans="2:2" ht="30" customHeight="1" x14ac:dyDescent="0.25">
      <c r="B282" s="6"/>
    </row>
    <row r="283" spans="2:2" ht="30" customHeight="1" x14ac:dyDescent="0.25">
      <c r="B283" s="6"/>
    </row>
    <row r="284" spans="2:2" ht="30" customHeight="1" x14ac:dyDescent="0.25">
      <c r="B284" s="6"/>
    </row>
    <row r="285" spans="2:2" ht="30" customHeight="1" x14ac:dyDescent="0.25">
      <c r="B285" s="6"/>
    </row>
    <row r="286" spans="2:2" ht="30" customHeight="1" x14ac:dyDescent="0.25">
      <c r="B286" s="6"/>
    </row>
    <row r="287" spans="2:2" ht="30" customHeight="1" x14ac:dyDescent="0.25">
      <c r="B287" s="6"/>
    </row>
    <row r="288" spans="2:2" ht="30" customHeight="1" x14ac:dyDescent="0.25">
      <c r="B288" s="6"/>
    </row>
    <row r="289" spans="2:2" ht="30" customHeight="1" x14ac:dyDescent="0.25">
      <c r="B289" s="6"/>
    </row>
    <row r="290" spans="2:2" ht="30" customHeight="1" x14ac:dyDescent="0.25">
      <c r="B290" s="6"/>
    </row>
    <row r="291" spans="2:2" ht="30" customHeight="1" x14ac:dyDescent="0.25">
      <c r="B291" s="6"/>
    </row>
    <row r="292" spans="2:2" ht="30" customHeight="1" x14ac:dyDescent="0.25">
      <c r="B292" s="6"/>
    </row>
    <row r="293" spans="2:2" ht="30" customHeight="1" x14ac:dyDescent="0.25">
      <c r="B293" s="6"/>
    </row>
    <row r="294" spans="2:2" ht="30" customHeight="1" x14ac:dyDescent="0.25">
      <c r="B294" s="6"/>
    </row>
    <row r="295" spans="2:2" ht="30" customHeight="1" x14ac:dyDescent="0.25">
      <c r="B295" s="6"/>
    </row>
    <row r="296" spans="2:2" ht="30" customHeight="1" x14ac:dyDescent="0.25">
      <c r="B296" s="6"/>
    </row>
    <row r="297" spans="2:2" ht="30" customHeight="1" x14ac:dyDescent="0.25">
      <c r="B297" s="6"/>
    </row>
    <row r="298" spans="2:2" ht="30" customHeight="1" x14ac:dyDescent="0.25">
      <c r="B298" s="6"/>
    </row>
    <row r="299" spans="2:2" ht="30" customHeight="1" x14ac:dyDescent="0.25">
      <c r="B299" s="6"/>
    </row>
    <row r="300" spans="2:2" ht="30" customHeight="1" x14ac:dyDescent="0.25">
      <c r="B300" s="6"/>
    </row>
    <row r="301" spans="2:2" ht="30" customHeight="1" x14ac:dyDescent="0.25">
      <c r="B301" s="6"/>
    </row>
    <row r="302" spans="2:2" ht="30" customHeight="1" x14ac:dyDescent="0.25">
      <c r="B302" s="6"/>
    </row>
    <row r="303" spans="2:2" ht="30" customHeight="1" x14ac:dyDescent="0.25">
      <c r="B303" s="6"/>
    </row>
    <row r="304" spans="2:2" ht="30" customHeight="1" x14ac:dyDescent="0.25">
      <c r="B304" s="6"/>
    </row>
    <row r="305" spans="2:2" ht="30" customHeight="1" x14ac:dyDescent="0.25">
      <c r="B305" s="6"/>
    </row>
    <row r="306" spans="2:2" ht="30" customHeight="1" x14ac:dyDescent="0.25">
      <c r="B306" s="6"/>
    </row>
    <row r="307" spans="2:2" ht="30" customHeight="1" x14ac:dyDescent="0.25">
      <c r="B307" s="6"/>
    </row>
    <row r="308" spans="2:2" ht="30" customHeight="1" x14ac:dyDescent="0.25">
      <c r="B308" s="6"/>
    </row>
    <row r="309" spans="2:2" ht="30" customHeight="1" x14ac:dyDescent="0.25">
      <c r="B309" s="6"/>
    </row>
    <row r="310" spans="2:2" ht="30" customHeight="1" x14ac:dyDescent="0.25">
      <c r="B310" s="6"/>
    </row>
    <row r="311" spans="2:2" ht="30" customHeight="1" x14ac:dyDescent="0.25">
      <c r="B311" s="6"/>
    </row>
    <row r="312" spans="2:2" ht="30" customHeight="1" x14ac:dyDescent="0.25">
      <c r="B312" s="6"/>
    </row>
    <row r="313" spans="2:2" ht="30" customHeight="1" x14ac:dyDescent="0.25">
      <c r="B313" s="6"/>
    </row>
    <row r="314" spans="2:2" ht="30" customHeight="1" x14ac:dyDescent="0.25">
      <c r="B314" s="6"/>
    </row>
    <row r="315" spans="2:2" ht="30" customHeight="1" x14ac:dyDescent="0.25">
      <c r="B315" s="6"/>
    </row>
    <row r="316" spans="2:2" ht="30" customHeight="1" x14ac:dyDescent="0.25">
      <c r="B316" s="6"/>
    </row>
    <row r="317" spans="2:2" ht="30" customHeight="1" x14ac:dyDescent="0.25">
      <c r="B317" s="6"/>
    </row>
    <row r="318" spans="2:2" ht="30" customHeight="1" x14ac:dyDescent="0.25">
      <c r="B318" s="6"/>
    </row>
    <row r="319" spans="2:2" ht="30" customHeight="1" x14ac:dyDescent="0.25">
      <c r="B319" s="6"/>
    </row>
    <row r="320" spans="2:2" ht="30" customHeight="1" x14ac:dyDescent="0.25">
      <c r="B320" s="6"/>
    </row>
    <row r="321" spans="2:2" ht="30" customHeight="1" x14ac:dyDescent="0.25">
      <c r="B321" s="6"/>
    </row>
    <row r="322" spans="2:2" ht="30" customHeight="1" x14ac:dyDescent="0.25">
      <c r="B322" s="6"/>
    </row>
    <row r="323" spans="2:2" ht="30" customHeight="1" x14ac:dyDescent="0.25">
      <c r="B323" s="6"/>
    </row>
    <row r="324" spans="2:2" ht="30" customHeight="1" x14ac:dyDescent="0.25">
      <c r="B324" s="6"/>
    </row>
    <row r="325" spans="2:2" ht="30" customHeight="1" x14ac:dyDescent="0.25">
      <c r="B325" s="6"/>
    </row>
    <row r="326" spans="2:2" ht="30" customHeight="1" x14ac:dyDescent="0.25">
      <c r="B326" s="6"/>
    </row>
    <row r="327" spans="2:2" ht="30" customHeight="1" x14ac:dyDescent="0.25">
      <c r="B327" s="6"/>
    </row>
    <row r="328" spans="2:2" ht="30" customHeight="1" x14ac:dyDescent="0.25">
      <c r="B328" s="6"/>
    </row>
    <row r="329" spans="2:2" ht="30" customHeight="1" x14ac:dyDescent="0.25">
      <c r="B329" s="6"/>
    </row>
    <row r="330" spans="2:2" ht="30" customHeight="1" x14ac:dyDescent="0.25">
      <c r="B330" s="6"/>
    </row>
    <row r="331" spans="2:2" ht="30" customHeight="1" x14ac:dyDescent="0.25">
      <c r="B331" s="6"/>
    </row>
    <row r="332" spans="2:2" ht="30" customHeight="1" x14ac:dyDescent="0.25">
      <c r="B332" s="6"/>
    </row>
    <row r="333" spans="2:2" ht="30" customHeight="1" x14ac:dyDescent="0.25">
      <c r="B333" s="6"/>
    </row>
    <row r="334" spans="2:2" ht="30" customHeight="1" x14ac:dyDescent="0.25">
      <c r="B334" s="6"/>
    </row>
    <row r="335" spans="2:2" ht="30" customHeight="1" x14ac:dyDescent="0.25">
      <c r="B335" s="6"/>
    </row>
    <row r="336" spans="2:2" ht="30" customHeight="1" x14ac:dyDescent="0.25">
      <c r="B336" s="6"/>
    </row>
    <row r="337" spans="2:2" ht="30" customHeight="1" x14ac:dyDescent="0.25">
      <c r="B337" s="6"/>
    </row>
    <row r="338" spans="2:2" ht="30" customHeight="1" x14ac:dyDescent="0.25">
      <c r="B338" s="6"/>
    </row>
    <row r="339" spans="2:2" ht="30" customHeight="1" x14ac:dyDescent="0.25">
      <c r="B339" s="6"/>
    </row>
    <row r="340" spans="2:2" ht="30" customHeight="1" x14ac:dyDescent="0.25">
      <c r="B340" s="6"/>
    </row>
    <row r="341" spans="2:2" ht="30" customHeight="1" x14ac:dyDescent="0.25">
      <c r="B341" s="6"/>
    </row>
    <row r="342" spans="2:2" ht="30" customHeight="1" x14ac:dyDescent="0.25">
      <c r="B342" s="6"/>
    </row>
    <row r="343" spans="2:2" ht="30" customHeight="1" x14ac:dyDescent="0.25">
      <c r="B343" s="6"/>
    </row>
    <row r="344" spans="2:2" ht="30" customHeight="1" x14ac:dyDescent="0.25">
      <c r="B344" s="6"/>
    </row>
    <row r="345" spans="2:2" ht="30" customHeight="1" x14ac:dyDescent="0.25">
      <c r="B345" s="6"/>
    </row>
    <row r="346" spans="2:2" ht="30" customHeight="1" x14ac:dyDescent="0.25">
      <c r="B346" s="6"/>
    </row>
    <row r="347" spans="2:2" ht="30" customHeight="1" x14ac:dyDescent="0.25">
      <c r="B347" s="6"/>
    </row>
    <row r="348" spans="2:2" ht="30" customHeight="1" x14ac:dyDescent="0.25">
      <c r="B348" s="6"/>
    </row>
    <row r="349" spans="2:2" ht="30" customHeight="1" x14ac:dyDescent="0.25">
      <c r="B349" s="6"/>
    </row>
    <row r="350" spans="2:2" ht="30" customHeight="1" x14ac:dyDescent="0.25">
      <c r="B350" s="6"/>
    </row>
    <row r="351" spans="2:2" ht="30" customHeight="1" x14ac:dyDescent="0.25">
      <c r="B351" s="6"/>
    </row>
    <row r="352" spans="2:2" ht="30" customHeight="1" x14ac:dyDescent="0.25">
      <c r="B352" s="6"/>
    </row>
    <row r="353" spans="2:2" ht="30" customHeight="1" x14ac:dyDescent="0.25">
      <c r="B353" s="6"/>
    </row>
    <row r="354" spans="2:2" ht="30" customHeight="1" x14ac:dyDescent="0.25">
      <c r="B354" s="6"/>
    </row>
    <row r="355" spans="2:2" ht="30" customHeight="1" x14ac:dyDescent="0.25">
      <c r="B355" s="6"/>
    </row>
    <row r="356" spans="2:2" ht="30" customHeight="1" x14ac:dyDescent="0.25">
      <c r="B356" s="6"/>
    </row>
    <row r="357" spans="2:2" ht="30" customHeight="1" x14ac:dyDescent="0.25">
      <c r="B357" s="6"/>
    </row>
    <row r="358" spans="2:2" ht="30" customHeight="1" x14ac:dyDescent="0.25">
      <c r="B358" s="6"/>
    </row>
    <row r="359" spans="2:2" ht="30" customHeight="1" x14ac:dyDescent="0.25">
      <c r="B359" s="6"/>
    </row>
    <row r="360" spans="2:2" ht="30" customHeight="1" x14ac:dyDescent="0.25">
      <c r="B360" s="6"/>
    </row>
    <row r="361" spans="2:2" ht="30" customHeight="1" x14ac:dyDescent="0.25">
      <c r="B361" s="6"/>
    </row>
    <row r="362" spans="2:2" ht="30" customHeight="1" x14ac:dyDescent="0.25">
      <c r="B362" s="6"/>
    </row>
    <row r="363" spans="2:2" ht="30" customHeight="1" x14ac:dyDescent="0.25">
      <c r="B363" s="6"/>
    </row>
    <row r="364" spans="2:2" ht="30" customHeight="1" x14ac:dyDescent="0.25">
      <c r="B364" s="6"/>
    </row>
    <row r="365" spans="2:2" ht="30" customHeight="1" x14ac:dyDescent="0.25">
      <c r="B365" s="6"/>
    </row>
    <row r="366" spans="2:2" ht="30" customHeight="1" x14ac:dyDescent="0.25">
      <c r="B366" s="6"/>
    </row>
    <row r="367" spans="2:2" ht="30" customHeight="1" x14ac:dyDescent="0.25">
      <c r="B367" s="6"/>
    </row>
    <row r="368" spans="2:2" ht="30" customHeight="1" x14ac:dyDescent="0.25">
      <c r="B368" s="6"/>
    </row>
    <row r="369" spans="2:2" ht="30" customHeight="1" x14ac:dyDescent="0.25">
      <c r="B369" s="6"/>
    </row>
    <row r="370" spans="2:2" ht="30" customHeight="1" x14ac:dyDescent="0.25">
      <c r="B370" s="6"/>
    </row>
    <row r="371" spans="2:2" ht="30" customHeight="1" x14ac:dyDescent="0.25">
      <c r="B371" s="6"/>
    </row>
    <row r="372" spans="2:2" ht="30" customHeight="1" x14ac:dyDescent="0.25">
      <c r="B372" s="6"/>
    </row>
    <row r="373" spans="2:2" ht="30" customHeight="1" x14ac:dyDescent="0.25">
      <c r="B373" s="6"/>
    </row>
    <row r="374" spans="2:2" ht="30" customHeight="1" x14ac:dyDescent="0.25">
      <c r="B374" s="6"/>
    </row>
    <row r="375" spans="2:2" ht="30" customHeight="1" x14ac:dyDescent="0.25">
      <c r="B375" s="6"/>
    </row>
    <row r="376" spans="2:2" ht="30" customHeight="1" x14ac:dyDescent="0.25">
      <c r="B376" s="6"/>
    </row>
    <row r="377" spans="2:2" ht="30" customHeight="1" x14ac:dyDescent="0.25">
      <c r="B377" s="6"/>
    </row>
    <row r="378" spans="2:2" ht="30" customHeight="1" x14ac:dyDescent="0.25">
      <c r="B378" s="6"/>
    </row>
    <row r="379" spans="2:2" ht="30" customHeight="1" x14ac:dyDescent="0.25">
      <c r="B379" s="6"/>
    </row>
    <row r="380" spans="2:2" ht="30" customHeight="1" x14ac:dyDescent="0.25">
      <c r="B380" s="6"/>
    </row>
  </sheetData>
  <mergeCells count="15">
    <mergeCell ref="X42:AM42"/>
    <mergeCell ref="V12:V13"/>
    <mergeCell ref="T2:U2"/>
    <mergeCell ref="B12:B13"/>
    <mergeCell ref="C12:C13"/>
    <mergeCell ref="E12:E13"/>
    <mergeCell ref="H12:H13"/>
    <mergeCell ref="G12:G13"/>
    <mergeCell ref="F12:F13"/>
    <mergeCell ref="L12:N12"/>
    <mergeCell ref="R12:T12"/>
    <mergeCell ref="U12:U13"/>
    <mergeCell ref="D12:D13"/>
    <mergeCell ref="I12:K12"/>
    <mergeCell ref="O12:Q12"/>
  </mergeCells>
  <phoneticPr fontId="18" type="noConversion"/>
  <conditionalFormatting sqref="E16:E23 K54:N62">
    <cfRule type="containsText" dxfId="203" priority="291" operator="containsText" text="B">
      <formula>NOT(ISERROR(SEARCH("B",E16)))</formula>
    </cfRule>
    <cfRule type="containsText" dxfId="202" priority="292" operator="containsText" text="A">
      <formula>NOT(ISERROR(SEARCH("A",E16)))</formula>
    </cfRule>
    <cfRule type="containsText" dxfId="201" priority="290" operator="containsText" text="C">
      <formula>NOT(ISERROR(SEARCH("C",E16)))</formula>
    </cfRule>
  </conditionalFormatting>
  <conditionalFormatting sqref="E26:E28 T36:T51">
    <cfRule type="containsText" dxfId="200" priority="219" operator="containsText" text="B">
      <formula>NOT(ISERROR(SEARCH("B",E26)))</formula>
    </cfRule>
    <cfRule type="containsText" dxfId="199" priority="217" operator="containsText" text="U/R">
      <formula>NOT(ISERROR(SEARCH("U/R",E26)))</formula>
    </cfRule>
    <cfRule type="containsText" dxfId="198" priority="218" operator="containsText" text="C">
      <formula>NOT(ISERROR(SEARCH("C",E26)))</formula>
    </cfRule>
    <cfRule type="containsText" dxfId="197" priority="220" operator="containsText" text="A">
      <formula>NOT(ISERROR(SEARCH("A",E26)))</formula>
    </cfRule>
  </conditionalFormatting>
  <conditionalFormatting sqref="E30:E51">
    <cfRule type="containsText" dxfId="196" priority="132" operator="containsText" text="A">
      <formula>NOT(ISERROR(SEARCH("A",E30)))</formula>
    </cfRule>
    <cfRule type="containsText" dxfId="195" priority="131" operator="containsText" text="B">
      <formula>NOT(ISERROR(SEARCH("B",E30)))</formula>
    </cfRule>
    <cfRule type="containsText" dxfId="194" priority="130" operator="containsText" text="C">
      <formula>NOT(ISERROR(SEARCH("C",E30)))</formula>
    </cfRule>
    <cfRule type="containsText" dxfId="193" priority="129" operator="containsText" text="U/R">
      <formula>NOT(ISERROR(SEARCH("U/R",E30)))</formula>
    </cfRule>
  </conditionalFormatting>
  <conditionalFormatting sqref="E53:E67">
    <cfRule type="containsText" dxfId="192" priority="1" operator="containsText" text="U/R">
      <formula>NOT(ISERROR(SEARCH("U/R",E53)))</formula>
    </cfRule>
    <cfRule type="containsText" dxfId="191" priority="2" operator="containsText" text="C">
      <formula>NOT(ISERROR(SEARCH("C",E53)))</formula>
    </cfRule>
    <cfRule type="containsText" dxfId="190" priority="3" operator="containsText" text="B">
      <formula>NOT(ISERROR(SEARCH("B",E53)))</formula>
    </cfRule>
    <cfRule type="containsText" dxfId="189" priority="4" operator="containsText" text="A">
      <formula>NOT(ISERROR(SEARCH("A",E53)))</formula>
    </cfRule>
  </conditionalFormatting>
  <conditionalFormatting sqref="E69:E73">
    <cfRule type="containsText" dxfId="188" priority="116" operator="containsText" text="A">
      <formula>NOT(ISERROR(SEARCH("A",E69)))</formula>
    </cfRule>
    <cfRule type="containsText" dxfId="187" priority="114" operator="containsText" text="C">
      <formula>NOT(ISERROR(SEARCH("C",E69)))</formula>
    </cfRule>
    <cfRule type="containsText" dxfId="186" priority="113" operator="containsText" text="U/R">
      <formula>NOT(ISERROR(SEARCH("U/R",E69)))</formula>
    </cfRule>
    <cfRule type="containsText" dxfId="185" priority="115" operator="containsText" text="B">
      <formula>NOT(ISERROR(SEARCH("B",E69)))</formula>
    </cfRule>
  </conditionalFormatting>
  <conditionalFormatting sqref="F19">
    <cfRule type="containsText" dxfId="184" priority="92" operator="containsText" text="A">
      <formula>NOT(ISERROR(SEARCH("A",F19)))</formula>
    </cfRule>
    <cfRule type="containsText" dxfId="183" priority="91" operator="containsText" text="B">
      <formula>NOT(ISERROR(SEARCH("B",F19)))</formula>
    </cfRule>
    <cfRule type="containsText" dxfId="182" priority="89" operator="containsText" text="U/R">
      <formula>NOT(ISERROR(SEARCH("U/R",F19)))</formula>
    </cfRule>
    <cfRule type="containsText" dxfId="181" priority="90" operator="containsText" text="C">
      <formula>NOT(ISERROR(SEARCH("C",F19)))</formula>
    </cfRule>
  </conditionalFormatting>
  <conditionalFormatting sqref="F55">
    <cfRule type="containsText" dxfId="180" priority="81" operator="containsText" text="U/R">
      <formula>NOT(ISERROR(SEARCH("U/R",F55)))</formula>
    </cfRule>
    <cfRule type="containsText" dxfId="179" priority="82" operator="containsText" text="C">
      <formula>NOT(ISERROR(SEARCH("C",F55)))</formula>
    </cfRule>
    <cfRule type="containsText" dxfId="178" priority="83" operator="containsText" text="B">
      <formula>NOT(ISERROR(SEARCH("B",F55)))</formula>
    </cfRule>
    <cfRule type="containsText" dxfId="177" priority="84" operator="containsText" text="A">
      <formula>NOT(ISERROR(SEARCH("A",F55)))</formula>
    </cfRule>
  </conditionalFormatting>
  <conditionalFormatting sqref="F57">
    <cfRule type="containsText" dxfId="176" priority="80" operator="containsText" text="A">
      <formula>NOT(ISERROR(SEARCH("A",F57)))</formula>
    </cfRule>
    <cfRule type="containsText" dxfId="175" priority="77" operator="containsText" text="U/R">
      <formula>NOT(ISERROR(SEARCH("U/R",F57)))</formula>
    </cfRule>
    <cfRule type="containsText" dxfId="174" priority="78" operator="containsText" text="C">
      <formula>NOT(ISERROR(SEARCH("C",F57)))</formula>
    </cfRule>
    <cfRule type="containsText" dxfId="173" priority="79" operator="containsText" text="B">
      <formula>NOT(ISERROR(SEARCH("B",F57)))</formula>
    </cfRule>
  </conditionalFormatting>
  <conditionalFormatting sqref="F60">
    <cfRule type="containsText" dxfId="172" priority="73" operator="containsText" text="U/R">
      <formula>NOT(ISERROR(SEARCH("U/R",F60)))</formula>
    </cfRule>
    <cfRule type="containsText" dxfId="171" priority="74" operator="containsText" text="C">
      <formula>NOT(ISERROR(SEARCH("C",F60)))</formula>
    </cfRule>
    <cfRule type="containsText" dxfId="170" priority="75" operator="containsText" text="B">
      <formula>NOT(ISERROR(SEARCH("B",F60)))</formula>
    </cfRule>
    <cfRule type="containsText" dxfId="169" priority="76" operator="containsText" text="A">
      <formula>NOT(ISERROR(SEARCH("A",F60)))</formula>
    </cfRule>
  </conditionalFormatting>
  <conditionalFormatting sqref="F69:F71">
    <cfRule type="containsText" dxfId="168" priority="64" operator="containsText" text="A">
      <formula>NOT(ISERROR(SEARCH("A",F69)))</formula>
    </cfRule>
    <cfRule type="containsText" dxfId="167" priority="63" operator="containsText" text="B">
      <formula>NOT(ISERROR(SEARCH("B",F69)))</formula>
    </cfRule>
    <cfRule type="containsText" dxfId="166" priority="62" operator="containsText" text="C">
      <formula>NOT(ISERROR(SEARCH("C",F69)))</formula>
    </cfRule>
    <cfRule type="containsText" dxfId="165" priority="61" operator="containsText" text="U/R">
      <formula>NOT(ISERROR(SEARCH("U/R",F69)))</formula>
    </cfRule>
  </conditionalFormatting>
  <conditionalFormatting sqref="J89:Q89">
    <cfRule type="containsText" dxfId="164" priority="5" operator="containsText" text="U/R">
      <formula>NOT(ISERROR(SEARCH("U/R",J89)))</formula>
    </cfRule>
    <cfRule type="containsText" dxfId="163" priority="6" operator="containsText" text="C">
      <formula>NOT(ISERROR(SEARCH("C",J89)))</formula>
    </cfRule>
    <cfRule type="containsText" dxfId="162" priority="7" operator="containsText" text="B">
      <formula>NOT(ISERROR(SEARCH("B",J89)))</formula>
    </cfRule>
    <cfRule type="containsText" dxfId="161" priority="8" operator="containsText" text="A">
      <formula>NOT(ISERROR(SEARCH("A",J89)))</formula>
    </cfRule>
  </conditionalFormatting>
  <conditionalFormatting sqref="K27">
    <cfRule type="containsText" dxfId="160" priority="148" operator="containsText" text="A">
      <formula>NOT(ISERROR(SEARCH("A",K27)))</formula>
    </cfRule>
    <cfRule type="containsText" dxfId="159" priority="145" operator="containsText" text="U/R">
      <formula>NOT(ISERROR(SEARCH("U/R",K27)))</formula>
    </cfRule>
    <cfRule type="containsText" dxfId="158" priority="146" operator="containsText" text="C">
      <formula>NOT(ISERROR(SEARCH("C",K27)))</formula>
    </cfRule>
    <cfRule type="containsText" dxfId="157" priority="147" operator="containsText" text="B">
      <formula>NOT(ISERROR(SEARCH("B",K27)))</formula>
    </cfRule>
  </conditionalFormatting>
  <conditionalFormatting sqref="K42 K30:N31 K32 M32 K33:N37 K38 K39:N41 K43:N44 L45:N45 K48:N49">
    <cfRule type="containsText" dxfId="156" priority="205" operator="containsText" text="U/R">
      <formula>NOT(ISERROR(SEARCH("U/R",K30)))</formula>
    </cfRule>
  </conditionalFormatting>
  <conditionalFormatting sqref="K42">
    <cfRule type="containsText" dxfId="155" priority="104" operator="containsText" text="A">
      <formula>NOT(ISERROR(SEARCH("A",K42)))</formula>
    </cfRule>
    <cfRule type="containsText" dxfId="154" priority="101" operator="containsText" text="U/R">
      <formula>NOT(ISERROR(SEARCH("U/R",K42)))</formula>
    </cfRule>
    <cfRule type="containsText" dxfId="153" priority="102" operator="containsText" text="C">
      <formula>NOT(ISERROR(SEARCH("C",K42)))</formula>
    </cfRule>
    <cfRule type="containsText" dxfId="152" priority="103" operator="containsText" text="B">
      <formula>NOT(ISERROR(SEARCH("B",K42)))</formula>
    </cfRule>
  </conditionalFormatting>
  <conditionalFormatting sqref="K46">
    <cfRule type="containsText" dxfId="151" priority="57" operator="containsText" text="U/R">
      <formula>NOT(ISERROR(SEARCH("U/R",K46)))</formula>
    </cfRule>
    <cfRule type="containsText" dxfId="150" priority="59" operator="containsText" text="B">
      <formula>NOT(ISERROR(SEARCH("B",K46)))</formula>
    </cfRule>
    <cfRule type="containsText" dxfId="149" priority="60" operator="containsText" text="A">
      <formula>NOT(ISERROR(SEARCH("A",K46)))</formula>
    </cfRule>
    <cfRule type="containsText" dxfId="148" priority="58" operator="containsText" text="C">
      <formula>NOT(ISERROR(SEARCH("C",K46)))</formula>
    </cfRule>
  </conditionalFormatting>
  <conditionalFormatting sqref="K46:K47">
    <cfRule type="containsText" dxfId="147" priority="21" operator="containsText" text="U/R">
      <formula>NOT(ISERROR(SEARCH("U/R",K46)))</formula>
    </cfRule>
    <cfRule type="containsText" dxfId="146" priority="22" operator="containsText" text="C">
      <formula>NOT(ISERROR(SEARCH("C",K46)))</formula>
    </cfRule>
    <cfRule type="containsText" dxfId="145" priority="23" operator="containsText" text="B">
      <formula>NOT(ISERROR(SEARCH("B",K46)))</formula>
    </cfRule>
    <cfRule type="containsText" dxfId="144" priority="24" operator="containsText" text="A">
      <formula>NOT(ISERROR(SEARCH("A",K46)))</formula>
    </cfRule>
  </conditionalFormatting>
  <conditionalFormatting sqref="K71:K73">
    <cfRule type="containsText" dxfId="143" priority="45" operator="containsText" text="U/R">
      <formula>NOT(ISERROR(SEARCH("U/R",K71)))</formula>
    </cfRule>
    <cfRule type="containsText" dxfId="142" priority="46" operator="containsText" text="C">
      <formula>NOT(ISERROR(SEARCH("C",K71)))</formula>
    </cfRule>
    <cfRule type="containsText" dxfId="141" priority="48" operator="containsText" text="A">
      <formula>NOT(ISERROR(SEARCH("A",K71)))</formula>
    </cfRule>
    <cfRule type="containsText" dxfId="140" priority="47" operator="containsText" text="B">
      <formula>NOT(ISERROR(SEARCH("B",K71)))</formula>
    </cfRule>
  </conditionalFormatting>
  <conditionalFormatting sqref="K16:N24">
    <cfRule type="containsText" dxfId="139" priority="301" operator="containsText" text="U/R">
      <formula>NOT(ISERROR(SEARCH("U/R",K16)))</formula>
    </cfRule>
    <cfRule type="containsText" dxfId="138" priority="302" operator="containsText" text="C">
      <formula>NOT(ISERROR(SEARCH("C",K16)))</formula>
    </cfRule>
    <cfRule type="containsText" dxfId="137" priority="303" operator="containsText" text="B">
      <formula>NOT(ISERROR(SEARCH("B",K16)))</formula>
    </cfRule>
    <cfRule type="containsText" dxfId="136" priority="304" operator="containsText" text="A">
      <formula>NOT(ISERROR(SEARCH("A",K16)))</formula>
    </cfRule>
  </conditionalFormatting>
  <conditionalFormatting sqref="K26:N28">
    <cfRule type="containsText" dxfId="135" priority="44" operator="containsText" text="A">
      <formula>NOT(ISERROR(SEARCH("A",K26)))</formula>
    </cfRule>
    <cfRule type="containsText" dxfId="134" priority="43" operator="containsText" text="B">
      <formula>NOT(ISERROR(SEARCH("B",K26)))</formula>
    </cfRule>
    <cfRule type="containsText" dxfId="133" priority="41" operator="containsText" text="U/R">
      <formula>NOT(ISERROR(SEARCH("U/R",K26)))</formula>
    </cfRule>
    <cfRule type="containsText" dxfId="132" priority="42" operator="containsText" text="C">
      <formula>NOT(ISERROR(SEARCH("C",K26)))</formula>
    </cfRule>
  </conditionalFormatting>
  <conditionalFormatting sqref="K30:N31 K32 M32 K33:N37 K38 K39:N41 K42 K43:N44 L45:N45 K48:N49">
    <cfRule type="containsText" dxfId="131" priority="208" operator="containsText" text="A">
      <formula>NOT(ISERROR(SEARCH("A",K30)))</formula>
    </cfRule>
    <cfRule type="containsText" dxfId="130" priority="206" operator="containsText" text="C">
      <formula>NOT(ISERROR(SEARCH("C",K30)))</formula>
    </cfRule>
    <cfRule type="containsText" dxfId="129" priority="207" operator="containsText" text="B">
      <formula>NOT(ISERROR(SEARCH("B",K30)))</formula>
    </cfRule>
  </conditionalFormatting>
  <conditionalFormatting sqref="K51:N51">
    <cfRule type="containsText" dxfId="128" priority="201" operator="containsText" text="U/R">
      <formula>NOT(ISERROR(SEARCH("U/R",K51)))</formula>
    </cfRule>
    <cfRule type="containsText" dxfId="127" priority="202" operator="containsText" text="C">
      <formula>NOT(ISERROR(SEARCH("C",K51)))</formula>
    </cfRule>
    <cfRule type="containsText" dxfId="126" priority="203" operator="containsText" text="B">
      <formula>NOT(ISERROR(SEARCH("B",K51)))</formula>
    </cfRule>
    <cfRule type="containsText" dxfId="125" priority="204" operator="containsText" text="A">
      <formula>NOT(ISERROR(SEARCH("A",K51)))</formula>
    </cfRule>
  </conditionalFormatting>
  <conditionalFormatting sqref="K53:N53">
    <cfRule type="containsText" dxfId="124" priority="140" operator="containsText" text="A">
      <formula>NOT(ISERROR(SEARCH("A",K53)))</formula>
    </cfRule>
    <cfRule type="containsText" dxfId="123" priority="138" operator="containsText" text="C">
      <formula>NOT(ISERROR(SEARCH("C",K53)))</formula>
    </cfRule>
    <cfRule type="containsText" dxfId="122" priority="139" operator="containsText" text="B">
      <formula>NOT(ISERROR(SEARCH("B",K53)))</formula>
    </cfRule>
    <cfRule type="containsText" dxfId="121" priority="137" operator="containsText" text="U/R">
      <formula>NOT(ISERROR(SEARCH("U/R",K53)))</formula>
    </cfRule>
  </conditionalFormatting>
  <conditionalFormatting sqref="K54:N62 E16:E23">
    <cfRule type="containsText" dxfId="120" priority="289" operator="containsText" text="U/R">
      <formula>NOT(ISERROR(SEARCH("U/R",E16)))</formula>
    </cfRule>
  </conditionalFormatting>
  <conditionalFormatting sqref="K63:N63 K64 K65:N67">
    <cfRule type="containsText" dxfId="119" priority="39" operator="containsText" text="B">
      <formula>NOT(ISERROR(SEARCH("B",K63)))</formula>
    </cfRule>
    <cfRule type="containsText" dxfId="118" priority="40" operator="containsText" text="A">
      <formula>NOT(ISERROR(SEARCH("A",K63)))</formula>
    </cfRule>
    <cfRule type="containsText" dxfId="117" priority="38" operator="containsText" text="C">
      <formula>NOT(ISERROR(SEARCH("C",K63)))</formula>
    </cfRule>
  </conditionalFormatting>
  <conditionalFormatting sqref="K65:N67 K63:N63 K64">
    <cfRule type="containsText" dxfId="116" priority="37" operator="containsText" text="U/R">
      <formula>NOT(ISERROR(SEARCH("U/R",K63)))</formula>
    </cfRule>
  </conditionalFormatting>
  <conditionalFormatting sqref="K69:N70 L71:M71 L72:N73">
    <cfRule type="containsText" dxfId="115" priority="224" operator="containsText" text="A">
      <formula>NOT(ISERROR(SEARCH("A",K69)))</formula>
    </cfRule>
    <cfRule type="containsText" dxfId="114" priority="222" operator="containsText" text="C">
      <formula>NOT(ISERROR(SEARCH("C",K69)))</formula>
    </cfRule>
    <cfRule type="containsText" dxfId="113" priority="223" operator="containsText" text="B">
      <formula>NOT(ISERROR(SEARCH("B",K69)))</formula>
    </cfRule>
  </conditionalFormatting>
  <conditionalFormatting sqref="K69:N70 L72:N73 L71:M71">
    <cfRule type="containsText" dxfId="112" priority="221" operator="containsText" text="U/R">
      <formula>NOT(ISERROR(SEARCH("U/R",K69)))</formula>
    </cfRule>
  </conditionalFormatting>
  <conditionalFormatting sqref="N16">
    <cfRule type="containsText" dxfId="111" priority="296" operator="containsText" text="A">
      <formula>NOT(ISERROR(SEARCH("A",N16)))</formula>
    </cfRule>
    <cfRule type="containsText" dxfId="110" priority="293" operator="containsText" text="U/R">
      <formula>NOT(ISERROR(SEARCH("U/R",N16)))</formula>
    </cfRule>
    <cfRule type="containsText" dxfId="109" priority="295" operator="containsText" text="B">
      <formula>NOT(ISERROR(SEARCH("B",N16)))</formula>
    </cfRule>
    <cfRule type="containsText" dxfId="108" priority="294" operator="containsText" text="C">
      <formula>NOT(ISERROR(SEARCH("C",N16)))</formula>
    </cfRule>
  </conditionalFormatting>
  <conditionalFormatting sqref="N19">
    <cfRule type="containsText" dxfId="107" priority="337" operator="containsText" text="U/R">
      <formula>NOT(ISERROR(SEARCH("U/R",N19)))</formula>
    </cfRule>
    <cfRule type="containsText" dxfId="106" priority="338" operator="containsText" text="C">
      <formula>NOT(ISERROR(SEARCH("C",N19)))</formula>
    </cfRule>
    <cfRule type="containsText" dxfId="105" priority="339" operator="containsText" text="B">
      <formula>NOT(ISERROR(SEARCH("B",N19)))</formula>
    </cfRule>
    <cfRule type="containsText" dxfId="104" priority="340" operator="containsText" text="A">
      <formula>NOT(ISERROR(SEARCH("A",N19)))</formula>
    </cfRule>
  </conditionalFormatting>
  <conditionalFormatting sqref="N21:N28">
    <cfRule type="containsText" dxfId="103" priority="261" operator="containsText" text="U/R">
      <formula>NOT(ISERROR(SEARCH("U/R",N21)))</formula>
    </cfRule>
    <cfRule type="containsText" dxfId="102" priority="262" operator="containsText" text="C">
      <formula>NOT(ISERROR(SEARCH("C",N21)))</formula>
    </cfRule>
    <cfRule type="containsText" dxfId="101" priority="263" operator="containsText" text="B">
      <formula>NOT(ISERROR(SEARCH("B",N21)))</formula>
    </cfRule>
    <cfRule type="containsText" dxfId="100" priority="264" operator="containsText" text="A">
      <formula>NOT(ISERROR(SEARCH("A",N21)))</formula>
    </cfRule>
  </conditionalFormatting>
  <conditionalFormatting sqref="N38">
    <cfRule type="containsText" dxfId="99" priority="13" operator="containsText" text="U/R">
      <formula>NOT(ISERROR(SEARCH("U/R",N38)))</formula>
    </cfRule>
    <cfRule type="containsText" dxfId="98" priority="16" operator="containsText" text="A">
      <formula>NOT(ISERROR(SEARCH("A",N38)))</formula>
    </cfRule>
    <cfRule type="containsText" dxfId="97" priority="15" operator="containsText" text="B">
      <formula>NOT(ISERROR(SEARCH("B",N38)))</formula>
    </cfRule>
    <cfRule type="containsText" dxfId="96" priority="14" operator="containsText" text="C">
      <formula>NOT(ISERROR(SEARCH("C",N38)))</formula>
    </cfRule>
  </conditionalFormatting>
  <conditionalFormatting sqref="N42">
    <cfRule type="containsText" dxfId="95" priority="133" operator="containsText" text="U/R">
      <formula>NOT(ISERROR(SEARCH("U/R",N42)))</formula>
    </cfRule>
    <cfRule type="containsText" dxfId="94" priority="100" operator="containsText" text="A">
      <formula>NOT(ISERROR(SEARCH("A",N42)))</formula>
    </cfRule>
    <cfRule type="containsText" dxfId="93" priority="134" operator="containsText" text="C">
      <formula>NOT(ISERROR(SEARCH("C",N42)))</formula>
    </cfRule>
    <cfRule type="containsText" dxfId="92" priority="135" operator="containsText" text="B">
      <formula>NOT(ISERROR(SEARCH("B",N42)))</formula>
    </cfRule>
    <cfRule type="containsText" dxfId="91" priority="136" operator="containsText" text="A">
      <formula>NOT(ISERROR(SEARCH("A",N42)))</formula>
    </cfRule>
    <cfRule type="containsText" dxfId="90" priority="99" operator="containsText" text="B">
      <formula>NOT(ISERROR(SEARCH("B",N42)))</formula>
    </cfRule>
    <cfRule type="containsText" dxfId="89" priority="98" operator="containsText" text="C">
      <formula>NOT(ISERROR(SEARCH("C",N42)))</formula>
    </cfRule>
    <cfRule type="containsText" dxfId="88" priority="97" operator="containsText" text="U/R">
      <formula>NOT(ISERROR(SEARCH("U/R",N42)))</formula>
    </cfRule>
  </conditionalFormatting>
  <conditionalFormatting sqref="N46:N47">
    <cfRule type="containsText" dxfId="87" priority="32" operator="containsText" text="A">
      <formula>NOT(ISERROR(SEARCH("A",N46)))</formula>
    </cfRule>
    <cfRule type="containsText" dxfId="86" priority="29" operator="containsText" text="U/R">
      <formula>NOT(ISERROR(SEARCH("U/R",N46)))</formula>
    </cfRule>
    <cfRule type="containsText" dxfId="85" priority="30" operator="containsText" text="C">
      <formula>NOT(ISERROR(SEARCH("C",N46)))</formula>
    </cfRule>
    <cfRule type="containsText" dxfId="84" priority="31" operator="containsText" text="B">
      <formula>NOT(ISERROR(SEARCH("B",N46)))</formula>
    </cfRule>
  </conditionalFormatting>
  <conditionalFormatting sqref="N55">
    <cfRule type="containsText" dxfId="83" priority="285" operator="containsText" text="U/R">
      <formula>NOT(ISERROR(SEARCH("U/R",N55)))</formula>
    </cfRule>
    <cfRule type="containsText" dxfId="82" priority="286" operator="containsText" text="C">
      <formula>NOT(ISERROR(SEARCH("C",N55)))</formula>
    </cfRule>
    <cfRule type="containsText" dxfId="81" priority="287" operator="containsText" text="B">
      <formula>NOT(ISERROR(SEARCH("B",N55)))</formula>
    </cfRule>
    <cfRule type="containsText" dxfId="80" priority="288" operator="containsText" text="A">
      <formula>NOT(ISERROR(SEARCH("A",N55)))</formula>
    </cfRule>
  </conditionalFormatting>
  <conditionalFormatting sqref="N64:N67">
    <cfRule type="containsText" dxfId="79" priority="33" operator="containsText" text="U/R">
      <formula>NOT(ISERROR(SEARCH("U/R",N64)))</formula>
    </cfRule>
    <cfRule type="containsText" dxfId="78" priority="36" operator="containsText" text="A">
      <formula>NOT(ISERROR(SEARCH("A",N64)))</formula>
    </cfRule>
    <cfRule type="containsText" dxfId="77" priority="35" operator="containsText" text="B">
      <formula>NOT(ISERROR(SEARCH("B",N64)))</formula>
    </cfRule>
    <cfRule type="containsText" dxfId="76" priority="34" operator="containsText" text="C">
      <formula>NOT(ISERROR(SEARCH("C",N64)))</formula>
    </cfRule>
  </conditionalFormatting>
  <conditionalFormatting sqref="N69:N73">
    <cfRule type="containsText" dxfId="75" priority="105" operator="containsText" text="U/R">
      <formula>NOT(ISERROR(SEARCH("U/R",N69)))</formula>
    </cfRule>
    <cfRule type="containsText" dxfId="74" priority="106" operator="containsText" text="C">
      <formula>NOT(ISERROR(SEARCH("C",N69)))</formula>
    </cfRule>
    <cfRule type="containsText" dxfId="73" priority="107" operator="containsText" text="B">
      <formula>NOT(ISERROR(SEARCH("B",N69)))</formula>
    </cfRule>
    <cfRule type="containsText" dxfId="72" priority="108" operator="containsText" text="A">
      <formula>NOT(ISERROR(SEARCH("A",N69)))</formula>
    </cfRule>
  </conditionalFormatting>
  <conditionalFormatting sqref="Q16:Q28">
    <cfRule type="containsText" dxfId="71" priority="193" operator="containsText" text="U/R">
      <formula>NOT(ISERROR(SEARCH("U/R",Q16)))</formula>
    </cfRule>
    <cfRule type="containsText" dxfId="70" priority="194" operator="containsText" text="C">
      <formula>NOT(ISERROR(SEARCH("C",Q16)))</formula>
    </cfRule>
    <cfRule type="containsText" dxfId="69" priority="195" operator="containsText" text="B">
      <formula>NOT(ISERROR(SEARCH("B",Q16)))</formula>
    </cfRule>
    <cfRule type="containsText" dxfId="68" priority="196" operator="containsText" text="A">
      <formula>NOT(ISERROR(SEARCH("A",Q16)))</formula>
    </cfRule>
  </conditionalFormatting>
  <conditionalFormatting sqref="Q30:Q33">
    <cfRule type="containsText" dxfId="67" priority="192" operator="containsText" text="A">
      <formula>NOT(ISERROR(SEARCH("A",Q30)))</formula>
    </cfRule>
    <cfRule type="containsText" dxfId="66" priority="191" operator="containsText" text="B">
      <formula>NOT(ISERROR(SEARCH("B",Q30)))</formula>
    </cfRule>
    <cfRule type="containsText" dxfId="65" priority="190" operator="containsText" text="C">
      <formula>NOT(ISERROR(SEARCH("C",Q30)))</formula>
    </cfRule>
    <cfRule type="containsText" dxfId="64" priority="189" operator="containsText" text="U/R">
      <formula>NOT(ISERROR(SEARCH("U/R",Q30)))</formula>
    </cfRule>
  </conditionalFormatting>
  <conditionalFormatting sqref="Q36:Q51">
    <cfRule type="containsText" dxfId="63" priority="18" operator="containsText" text="C">
      <formula>NOT(ISERROR(SEARCH("C",Q36)))</formula>
    </cfRule>
    <cfRule type="containsText" dxfId="62" priority="19" operator="containsText" text="B">
      <formula>NOT(ISERROR(SEARCH("B",Q36)))</formula>
    </cfRule>
    <cfRule type="containsText" dxfId="61" priority="20" operator="containsText" text="A">
      <formula>NOT(ISERROR(SEARCH("A",Q36)))</formula>
    </cfRule>
    <cfRule type="containsText" dxfId="60" priority="17" operator="containsText" text="U/R">
      <formula>NOT(ISERROR(SEARCH("U/R",Q36)))</formula>
    </cfRule>
  </conditionalFormatting>
  <conditionalFormatting sqref="Q53:Q60 T53:T60 Q69:Q73 T69:T73 Q75 T75 K75:N76 K77:Q88 K90:Q95">
    <cfRule type="containsText" dxfId="59" priority="400" operator="containsText" text="A">
      <formula>NOT(ISERROR(SEARCH("A",K53)))</formula>
    </cfRule>
    <cfRule type="containsText" dxfId="58" priority="397" operator="containsText" text="U/R">
      <formula>NOT(ISERROR(SEARCH("U/R",K53)))</formula>
    </cfRule>
    <cfRule type="containsText" dxfId="57" priority="398" operator="containsText" text="C">
      <formula>NOT(ISERROR(SEARCH("C",K53)))</formula>
    </cfRule>
    <cfRule type="containsText" dxfId="56" priority="399" operator="containsText" text="B">
      <formula>NOT(ISERROR(SEARCH("B",K53)))</formula>
    </cfRule>
  </conditionalFormatting>
  <conditionalFormatting sqref="T16:T28">
    <cfRule type="containsText" dxfId="55" priority="153" operator="containsText" text="U/R">
      <formula>NOT(ISERROR(SEARCH("U/R",T16)))</formula>
    </cfRule>
    <cfRule type="containsText" dxfId="54" priority="154" operator="containsText" text="C">
      <formula>NOT(ISERROR(SEARCH("C",T16)))</formula>
    </cfRule>
    <cfRule type="containsText" dxfId="53" priority="155" operator="containsText" text="B">
      <formula>NOT(ISERROR(SEARCH("B",T16)))</formula>
    </cfRule>
    <cfRule type="containsText" dxfId="52" priority="156" operator="containsText" text="A">
      <formula>NOT(ISERROR(SEARCH("A",T16)))</formula>
    </cfRule>
  </conditionalFormatting>
  <conditionalFormatting sqref="T30:T33">
    <cfRule type="containsText" dxfId="51" priority="150" operator="containsText" text="C">
      <formula>NOT(ISERROR(SEARCH("C",T30)))</formula>
    </cfRule>
    <cfRule type="containsText" dxfId="50" priority="151" operator="containsText" text="B">
      <formula>NOT(ISERROR(SEARCH("B",T30)))</formula>
    </cfRule>
    <cfRule type="containsText" dxfId="49" priority="152" operator="containsText" text="A">
      <formula>NOT(ISERROR(SEARCH("A",T30)))</formula>
    </cfRule>
    <cfRule type="containsText" dxfId="48" priority="149" operator="containsText" text="U/R">
      <formula>NOT(ISERROR(SEARCH("U/R",T30)))</formula>
    </cfRule>
  </conditionalFormatting>
  <dataValidations count="1">
    <dataValidation type="list" allowBlank="1" showInputMessage="1" showErrorMessage="1" sqref="K25:N25 K50:N50 E72:E1048576 E14:E70" xr:uid="{00000000-0002-0000-0800-000000000000}">
      <formula1>"A, B, C, U/R, Infor."</formula1>
    </dataValidation>
  </dataValidations>
  <printOptions horizontalCentered="1"/>
  <pageMargins left="0.45" right="0.45" top="0.75" bottom="0.75" header="0.3" footer="0.3"/>
  <pageSetup paperSize="8" scale="54" fitToHeight="0" orientation="landscape" r:id="rId1"/>
  <rowBreaks count="1" manualBreakCount="1">
    <brk id="67" max="21" man="1"/>
  </rowBreaks>
  <colBreaks count="1" manualBreakCount="1">
    <brk id="31" max="6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A702-A00A-4B29-B7F7-3DB7A6A11B72}">
  <sheetPr codeName="Sheet3">
    <pageSetUpPr fitToPage="1"/>
  </sheetPr>
  <dimension ref="A1:P325"/>
  <sheetViews>
    <sheetView view="pageBreakPreview" zoomScale="90" zoomScaleNormal="100" zoomScaleSheetLayoutView="90" workbookViewId="0">
      <pane xSplit="4" ySplit="11" topLeftCell="E12" activePane="bottomRight" state="frozen"/>
      <selection pane="topRight" activeCell="F1" sqref="F1"/>
      <selection pane="bottomLeft" activeCell="A10" sqref="A10"/>
      <selection pane="bottomRight" activeCell="D17" sqref="D17"/>
    </sheetView>
  </sheetViews>
  <sheetFormatPr defaultRowHeight="30" customHeight="1" x14ac:dyDescent="0.25"/>
  <cols>
    <col min="1" max="1" width="1.85546875" customWidth="1"/>
    <col min="2" max="2" width="13.5703125" style="5" customWidth="1"/>
    <col min="3" max="3" width="83.85546875" style="5" customWidth="1"/>
    <col min="4" max="4" width="12.7109375" style="5" customWidth="1"/>
    <col min="5" max="5" width="12" style="5" customWidth="1"/>
    <col min="6" max="7" width="12.7109375" style="5" customWidth="1"/>
    <col min="8" max="8" width="10.7109375" style="5" customWidth="1"/>
    <col min="9" max="10" width="12.7109375" style="5" customWidth="1"/>
    <col min="11" max="11" width="10.7109375" style="5" customWidth="1"/>
    <col min="12" max="13" width="12.7109375" style="5" customWidth="1"/>
    <col min="14" max="14" width="10.7109375" style="5" customWidth="1"/>
    <col min="15" max="16" width="24.7109375" style="5" customWidth="1"/>
  </cols>
  <sheetData>
    <row r="1" spans="1:16" ht="77.25" customHeight="1" x14ac:dyDescent="0.25">
      <c r="A1" s="89"/>
      <c r="B1" s="108"/>
      <c r="C1" s="77"/>
      <c r="D1" s="77"/>
      <c r="E1" s="75"/>
      <c r="F1" s="75"/>
      <c r="G1" s="75"/>
      <c r="H1" s="75"/>
      <c r="I1" s="75"/>
      <c r="J1" s="75"/>
      <c r="K1" s="75"/>
      <c r="L1" s="75"/>
      <c r="M1" s="75"/>
      <c r="N1" s="75"/>
      <c r="O1" s="110"/>
      <c r="P1" s="79"/>
    </row>
    <row r="2" spans="1:16" ht="21.95" customHeight="1" x14ac:dyDescent="0.25">
      <c r="A2" s="89"/>
      <c r="B2" s="82" t="s">
        <v>197</v>
      </c>
      <c r="C2" s="83" t="s">
        <v>198</v>
      </c>
      <c r="D2" s="74"/>
      <c r="E2" s="77"/>
      <c r="F2" s="109"/>
      <c r="G2" s="75"/>
      <c r="H2" s="74"/>
      <c r="I2" s="109"/>
      <c r="J2" s="75"/>
      <c r="K2" s="74"/>
      <c r="L2" s="75"/>
      <c r="M2" s="75"/>
      <c r="N2" s="263"/>
      <c r="O2" s="263"/>
      <c r="P2" s="80"/>
    </row>
    <row r="3" spans="1:16" ht="21.95" customHeight="1" x14ac:dyDescent="0.25">
      <c r="A3" s="89"/>
      <c r="B3" s="82" t="s">
        <v>192</v>
      </c>
      <c r="C3" s="82" t="s">
        <v>231</v>
      </c>
      <c r="D3" s="74"/>
      <c r="E3" s="75"/>
      <c r="F3" s="75"/>
      <c r="G3" s="75"/>
      <c r="H3" s="78"/>
      <c r="I3" s="75"/>
      <c r="J3" s="75"/>
      <c r="K3" s="78"/>
      <c r="L3" s="75"/>
      <c r="M3" s="75"/>
      <c r="N3" s="84">
        <f>COUNTIF($D$12:$D$1048576,"A")/$N$7</f>
        <v>0</v>
      </c>
      <c r="O3" s="7" t="s">
        <v>8</v>
      </c>
      <c r="P3" s="87" t="s">
        <v>12</v>
      </c>
    </row>
    <row r="4" spans="1:16" ht="21.95" customHeight="1" x14ac:dyDescent="0.25">
      <c r="A4" s="89"/>
      <c r="B4" s="82" t="s">
        <v>193</v>
      </c>
      <c r="C4" s="91" t="s">
        <v>199</v>
      </c>
      <c r="D4" s="79"/>
      <c r="E4" s="77"/>
      <c r="F4" s="75"/>
      <c r="G4" s="75"/>
      <c r="H4" s="78"/>
      <c r="I4" s="75"/>
      <c r="J4" s="75"/>
      <c r="K4" s="78"/>
      <c r="L4" s="75"/>
      <c r="M4" s="75"/>
      <c r="N4" s="84">
        <f>COUNTIF($D$12:$D$1048576,"B")/$N$7</f>
        <v>0.5</v>
      </c>
      <c r="O4" s="48" t="s">
        <v>9</v>
      </c>
      <c r="P4" s="87" t="s">
        <v>13</v>
      </c>
    </row>
    <row r="5" spans="1:16" ht="21.95" customHeight="1" x14ac:dyDescent="0.25">
      <c r="A5" s="89"/>
      <c r="B5" s="82" t="s">
        <v>196</v>
      </c>
      <c r="C5" s="91" t="s">
        <v>200</v>
      </c>
      <c r="D5" s="74"/>
      <c r="E5" s="75"/>
      <c r="F5" s="75"/>
      <c r="G5" s="75"/>
      <c r="H5" s="78"/>
      <c r="I5" s="75"/>
      <c r="J5" s="75"/>
      <c r="K5" s="78"/>
      <c r="L5" s="75"/>
      <c r="M5" s="75"/>
      <c r="N5" s="85">
        <f>COUNTIF($D$12:$D$1048576,"C")/$N$7</f>
        <v>0</v>
      </c>
      <c r="O5" s="35" t="s">
        <v>10</v>
      </c>
      <c r="P5" s="87" t="s">
        <v>23</v>
      </c>
    </row>
    <row r="6" spans="1:16" ht="21.95" customHeight="1" x14ac:dyDescent="0.25">
      <c r="A6" s="89"/>
      <c r="B6" s="91" t="s">
        <v>195</v>
      </c>
      <c r="C6" s="82" t="s">
        <v>240</v>
      </c>
      <c r="D6" s="74"/>
      <c r="E6" s="75"/>
      <c r="F6" s="75"/>
      <c r="G6" s="75"/>
      <c r="H6" s="78"/>
      <c r="I6" s="75"/>
      <c r="J6" s="75"/>
      <c r="K6" s="78"/>
      <c r="L6" s="75"/>
      <c r="M6" s="75"/>
      <c r="N6" s="85">
        <f>COUNTIF($D$12:$D$1048576,"U/R")/$N$7</f>
        <v>0</v>
      </c>
      <c r="O6" s="52" t="s">
        <v>11</v>
      </c>
      <c r="P6" s="87" t="s">
        <v>112</v>
      </c>
    </row>
    <row r="7" spans="1:16" ht="21.95" customHeight="1" x14ac:dyDescent="0.25">
      <c r="A7" s="89"/>
      <c r="B7" s="91" t="s">
        <v>194</v>
      </c>
      <c r="C7" s="94">
        <f ca="1">TODAY()</f>
        <v>45708</v>
      </c>
      <c r="D7" s="74"/>
      <c r="E7" s="75"/>
      <c r="F7" s="75"/>
      <c r="G7" s="75"/>
      <c r="H7" s="81"/>
      <c r="I7" s="75"/>
      <c r="J7" s="75"/>
      <c r="K7" s="81"/>
      <c r="L7" s="75"/>
      <c r="M7" s="75"/>
      <c r="N7" s="86">
        <f>COUNT($B$12:$B$1048576)</f>
        <v>2</v>
      </c>
      <c r="O7" s="88" t="s">
        <v>141</v>
      </c>
      <c r="P7" s="87" t="s">
        <v>142</v>
      </c>
    </row>
    <row r="8" spans="1:16" ht="15.75" thickBot="1" x14ac:dyDescent="0.3">
      <c r="A8" s="89"/>
      <c r="B8" s="75"/>
      <c r="C8" s="75"/>
      <c r="D8" s="75"/>
      <c r="E8" s="75"/>
      <c r="F8" s="75"/>
      <c r="G8" s="75"/>
      <c r="H8" s="81"/>
      <c r="I8" s="75"/>
      <c r="J8" s="75"/>
      <c r="K8" s="81"/>
      <c r="L8" s="75"/>
      <c r="M8" s="75"/>
      <c r="N8" s="53"/>
      <c r="O8" s="6"/>
      <c r="P8" s="34"/>
    </row>
    <row r="9" spans="1:16" s="36" customFormat="1" ht="20.100000000000001" customHeight="1" x14ac:dyDescent="0.25">
      <c r="B9" s="272" t="s">
        <v>2</v>
      </c>
      <c r="C9" s="275" t="s">
        <v>228</v>
      </c>
      <c r="D9" s="261" t="s">
        <v>95</v>
      </c>
      <c r="E9" s="279" t="s">
        <v>4</v>
      </c>
      <c r="F9" s="282" t="s">
        <v>34</v>
      </c>
      <c r="G9" s="283"/>
      <c r="H9" s="283"/>
      <c r="I9" s="282" t="s">
        <v>36</v>
      </c>
      <c r="J9" s="283"/>
      <c r="K9" s="283"/>
      <c r="L9" s="283"/>
      <c r="M9" s="283"/>
      <c r="N9" s="293"/>
      <c r="O9" s="284" t="s">
        <v>6</v>
      </c>
      <c r="P9" s="287" t="s">
        <v>7</v>
      </c>
    </row>
    <row r="10" spans="1:16" s="36" customFormat="1" ht="20.100000000000001" customHeight="1" x14ac:dyDescent="0.25">
      <c r="B10" s="273"/>
      <c r="C10" s="276"/>
      <c r="D10" s="278"/>
      <c r="E10" s="280"/>
      <c r="F10" s="290" t="s">
        <v>229</v>
      </c>
      <c r="G10" s="291"/>
      <c r="H10" s="292"/>
      <c r="I10" s="290" t="s">
        <v>229</v>
      </c>
      <c r="J10" s="291"/>
      <c r="K10" s="292"/>
      <c r="L10" s="290" t="s">
        <v>230</v>
      </c>
      <c r="M10" s="291"/>
      <c r="N10" s="292"/>
      <c r="O10" s="285"/>
      <c r="P10" s="288"/>
    </row>
    <row r="11" spans="1:16" ht="30" customHeight="1" thickBot="1" x14ac:dyDescent="0.3">
      <c r="B11" s="274"/>
      <c r="C11" s="277"/>
      <c r="D11" s="262"/>
      <c r="E11" s="281"/>
      <c r="F11" s="50" t="s">
        <v>33</v>
      </c>
      <c r="G11" s="49" t="s">
        <v>17</v>
      </c>
      <c r="H11" s="38" t="s">
        <v>5</v>
      </c>
      <c r="I11" s="37" t="s">
        <v>33</v>
      </c>
      <c r="J11" s="49" t="s">
        <v>17</v>
      </c>
      <c r="K11" s="38" t="s">
        <v>5</v>
      </c>
      <c r="L11" s="37" t="s">
        <v>33</v>
      </c>
      <c r="M11" s="49" t="s">
        <v>17</v>
      </c>
      <c r="N11" s="38" t="s">
        <v>5</v>
      </c>
      <c r="O11" s="286"/>
      <c r="P11" s="289"/>
    </row>
    <row r="12" spans="1:16" ht="20.100000000000001" customHeight="1" x14ac:dyDescent="0.25">
      <c r="B12" s="118" t="s">
        <v>8</v>
      </c>
      <c r="C12" s="96" t="s">
        <v>226</v>
      </c>
      <c r="D12" s="13"/>
      <c r="E12" s="13"/>
      <c r="F12" s="13"/>
      <c r="G12" s="13"/>
      <c r="H12" s="12"/>
      <c r="I12" s="13"/>
      <c r="J12" s="13"/>
      <c r="K12" s="12"/>
      <c r="L12" s="13"/>
      <c r="M12" s="13"/>
      <c r="N12" s="12"/>
      <c r="O12" s="13"/>
      <c r="P12" s="14"/>
    </row>
    <row r="13" spans="1:16" ht="20.100000000000001" customHeight="1" x14ac:dyDescent="0.25">
      <c r="B13" s="114">
        <v>1</v>
      </c>
      <c r="C13" s="100" t="s">
        <v>337</v>
      </c>
      <c r="D13" s="116" t="s">
        <v>9</v>
      </c>
      <c r="E13" s="116" t="s">
        <v>338</v>
      </c>
      <c r="F13" s="115"/>
      <c r="G13" s="115"/>
      <c r="H13" s="116"/>
      <c r="I13" s="115"/>
      <c r="J13" s="115"/>
      <c r="K13" s="116"/>
      <c r="L13" s="150">
        <v>45262</v>
      </c>
      <c r="M13" s="150">
        <v>45267</v>
      </c>
      <c r="N13" s="116" t="s">
        <v>9</v>
      </c>
      <c r="O13" s="115"/>
      <c r="P13" s="117"/>
    </row>
    <row r="14" spans="1:16" ht="20.100000000000001" customHeight="1" x14ac:dyDescent="0.25">
      <c r="A14" s="8"/>
      <c r="B14" s="114">
        <v>2</v>
      </c>
      <c r="C14" s="100" t="s">
        <v>372</v>
      </c>
      <c r="D14" s="23"/>
      <c r="E14" s="116" t="s">
        <v>373</v>
      </c>
      <c r="F14" s="150">
        <v>45372</v>
      </c>
      <c r="G14" s="26"/>
      <c r="H14" s="23"/>
      <c r="I14" s="26"/>
      <c r="J14" s="26"/>
      <c r="K14" s="23"/>
      <c r="L14" s="23"/>
      <c r="M14" s="23"/>
      <c r="N14" s="23"/>
      <c r="O14" s="21"/>
      <c r="P14" s="43"/>
    </row>
    <row r="15" spans="1:16" ht="20.100000000000001" customHeight="1" x14ac:dyDescent="0.25">
      <c r="B15" s="119"/>
      <c r="C15" s="101"/>
      <c r="D15" s="59"/>
      <c r="E15" s="59"/>
      <c r="F15" s="60"/>
      <c r="G15" s="60"/>
      <c r="H15" s="59"/>
      <c r="I15" s="59"/>
      <c r="J15" s="59"/>
      <c r="K15" s="59"/>
      <c r="L15" s="59"/>
      <c r="M15" s="59"/>
      <c r="N15" s="59"/>
      <c r="O15" s="61"/>
      <c r="P15" s="102"/>
    </row>
    <row r="16" spans="1:16" ht="20.100000000000001" customHeight="1" x14ac:dyDescent="0.25">
      <c r="B16" s="107" t="s">
        <v>9</v>
      </c>
      <c r="C16" s="103" t="s">
        <v>227</v>
      </c>
      <c r="D16" s="104"/>
      <c r="E16" s="104"/>
      <c r="F16" s="104"/>
      <c r="G16" s="104"/>
      <c r="H16" s="105"/>
      <c r="I16" s="104"/>
      <c r="J16" s="104"/>
      <c r="K16" s="105"/>
      <c r="L16" s="104"/>
      <c r="M16" s="104"/>
      <c r="N16" s="105"/>
      <c r="O16" s="104"/>
      <c r="P16" s="106"/>
    </row>
    <row r="17" spans="1:16" ht="20.100000000000001" customHeight="1" x14ac:dyDescent="0.25">
      <c r="A17" s="8"/>
      <c r="B17" s="15"/>
      <c r="C17" s="33"/>
      <c r="D17" s="23"/>
      <c r="E17" s="23"/>
      <c r="F17" s="26"/>
      <c r="G17" s="26"/>
      <c r="H17" s="23"/>
      <c r="I17" s="26"/>
      <c r="J17" s="26"/>
      <c r="K17" s="23"/>
      <c r="L17" s="23"/>
      <c r="M17" s="23"/>
      <c r="N17" s="23"/>
      <c r="O17" s="21"/>
      <c r="P17" s="43"/>
    </row>
    <row r="18" spans="1:16" ht="20.100000000000001" customHeight="1" x14ac:dyDescent="0.25">
      <c r="A18" s="8"/>
      <c r="B18" s="15"/>
      <c r="C18" s="33"/>
      <c r="D18" s="23"/>
      <c r="E18" s="23"/>
      <c r="F18" s="26"/>
      <c r="G18" s="26"/>
      <c r="H18" s="23"/>
      <c r="I18" s="23"/>
      <c r="J18" s="23"/>
      <c r="K18" s="23"/>
      <c r="L18" s="23"/>
      <c r="M18" s="23"/>
      <c r="N18" s="23"/>
      <c r="O18" s="21"/>
      <c r="P18" s="43"/>
    </row>
    <row r="19" spans="1:16" ht="20.100000000000001" customHeight="1" x14ac:dyDescent="0.25">
      <c r="A19" s="8"/>
      <c r="B19" s="15"/>
      <c r="C19" s="33"/>
      <c r="D19" s="23"/>
      <c r="E19" s="23"/>
      <c r="F19" s="26"/>
      <c r="G19" s="26"/>
      <c r="H19" s="23"/>
      <c r="I19" s="26"/>
      <c r="J19" s="26"/>
      <c r="K19" s="23"/>
      <c r="L19" s="26"/>
      <c r="M19" s="26"/>
      <c r="N19" s="23"/>
      <c r="O19" s="21"/>
      <c r="P19" s="43"/>
    </row>
    <row r="20" spans="1:16" ht="20.100000000000001" customHeight="1" x14ac:dyDescent="0.25">
      <c r="A20" s="8"/>
      <c r="B20" s="15"/>
      <c r="C20" s="25"/>
      <c r="D20" s="23"/>
      <c r="E20" s="23"/>
      <c r="F20" s="26"/>
      <c r="G20" s="26"/>
      <c r="H20" s="23"/>
      <c r="I20" s="23"/>
      <c r="J20" s="23"/>
      <c r="K20" s="23"/>
      <c r="L20" s="23"/>
      <c r="M20" s="23"/>
      <c r="N20" s="23"/>
      <c r="O20" s="21"/>
      <c r="P20" s="43"/>
    </row>
    <row r="21" spans="1:16" ht="20.100000000000001" customHeight="1" thickBot="1" x14ac:dyDescent="0.3">
      <c r="B21" s="16"/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20"/>
    </row>
    <row r="22" spans="1:16" ht="30" customHeight="1" x14ac:dyDescent="0.25">
      <c r="B22" s="9"/>
      <c r="C22" s="10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"/>
      <c r="P22" s="1"/>
    </row>
    <row r="23" spans="1:16" ht="30" customHeight="1" x14ac:dyDescent="0.25">
      <c r="B23" s="11"/>
      <c r="C23" s="2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1"/>
      <c r="P23" s="1"/>
    </row>
    <row r="24" spans="1:16" ht="30" customHeight="1" x14ac:dyDescent="0.25">
      <c r="B24" s="9"/>
      <c r="C24" s="1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"/>
      <c r="P24" s="1"/>
    </row>
    <row r="25" spans="1:16" ht="30" customHeight="1" x14ac:dyDescent="0.25">
      <c r="B25" s="9"/>
      <c r="C25" s="1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1"/>
      <c r="P25" s="1"/>
    </row>
    <row r="26" spans="1:16" ht="30" customHeight="1" x14ac:dyDescent="0.25">
      <c r="B26" s="9"/>
      <c r="C26" s="10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1"/>
      <c r="P26" s="1"/>
    </row>
    <row r="27" spans="1:16" ht="30" customHeight="1" x14ac:dyDescent="0.25">
      <c r="B27" s="11"/>
      <c r="C27" s="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1"/>
      <c r="P27" s="1"/>
    </row>
    <row r="28" spans="1:16" ht="30" customHeight="1" x14ac:dyDescent="0.25">
      <c r="B28" s="9"/>
      <c r="C28" s="10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1"/>
      <c r="P28" s="1"/>
    </row>
    <row r="29" spans="1:16" ht="30" customHeight="1" x14ac:dyDescent="0.25">
      <c r="B29" s="9"/>
      <c r="C29" s="1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"/>
      <c r="P29" s="1"/>
    </row>
    <row r="30" spans="1:16" ht="30" customHeight="1" x14ac:dyDescent="0.25">
      <c r="B30" s="9"/>
      <c r="C30" s="1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"/>
      <c r="P30" s="1"/>
    </row>
    <row r="31" spans="1:16" ht="30" customHeight="1" x14ac:dyDescent="0.25">
      <c r="B31" s="11"/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"/>
      <c r="P31" s="1"/>
    </row>
    <row r="32" spans="1:16" ht="30" customHeight="1" x14ac:dyDescent="0.25">
      <c r="B32" s="9"/>
      <c r="C32" s="10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"/>
      <c r="P32" s="1"/>
    </row>
    <row r="33" spans="2:16" ht="30" customHeight="1" x14ac:dyDescent="0.25">
      <c r="B33" s="9"/>
      <c r="C33" s="1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1"/>
      <c r="P33" s="1"/>
    </row>
    <row r="34" spans="2:16" ht="30" customHeight="1" x14ac:dyDescent="0.25">
      <c r="B34" s="9"/>
      <c r="C34" s="10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1"/>
      <c r="P34" s="1"/>
    </row>
    <row r="35" spans="2:16" ht="30" customHeight="1" x14ac:dyDescent="0.25">
      <c r="B35" s="11"/>
      <c r="C35" s="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1"/>
      <c r="P35" s="1"/>
    </row>
    <row r="36" spans="2:16" ht="30" customHeight="1" x14ac:dyDescent="0.25">
      <c r="B36" s="9"/>
      <c r="C36" s="10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  <c r="P36" s="1"/>
    </row>
    <row r="37" spans="2:16" ht="30" customHeight="1" x14ac:dyDescent="0.25">
      <c r="B37" s="9"/>
      <c r="C37" s="10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1"/>
      <c r="P37" s="1"/>
    </row>
    <row r="38" spans="2:16" ht="30" customHeight="1" x14ac:dyDescent="0.25">
      <c r="B38" s="9"/>
      <c r="C38" s="10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  <c r="P38" s="1"/>
    </row>
    <row r="39" spans="2:16" ht="30" customHeight="1" x14ac:dyDescent="0.25">
      <c r="B39" s="11"/>
      <c r="C39" s="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1"/>
      <c r="P39" s="1"/>
    </row>
    <row r="40" spans="2:16" ht="30" customHeight="1" x14ac:dyDescent="0.25">
      <c r="B40" s="9" t="str">
        <f>IF(C40="","",MAX($B$9:B39)+1)</f>
        <v/>
      </c>
      <c r="C40" s="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1"/>
      <c r="P40" s="1"/>
    </row>
    <row r="41" spans="2:16" ht="30" customHeight="1" x14ac:dyDescent="0.25"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2:16" ht="30" customHeight="1" x14ac:dyDescent="0.25">
      <c r="B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16" ht="30" customHeight="1" x14ac:dyDescent="0.25"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2:16" ht="30" customHeight="1" x14ac:dyDescent="0.25"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2:16" ht="30" customHeight="1" x14ac:dyDescent="0.25"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2:16" ht="30" customHeight="1" x14ac:dyDescent="0.25"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2:16" ht="30" customHeight="1" x14ac:dyDescent="0.25"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2:16" ht="30" customHeight="1" x14ac:dyDescent="0.25"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2:16" ht="30" customHeight="1" x14ac:dyDescent="0.25">
      <c r="B49" s="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2:16" ht="30" customHeight="1" x14ac:dyDescent="0.25"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2:16" ht="30" customHeight="1" x14ac:dyDescent="0.25">
      <c r="B51" s="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2:16" ht="30" customHeight="1" x14ac:dyDescent="0.25">
      <c r="B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2:16" ht="30" customHeight="1" x14ac:dyDescent="0.25">
      <c r="B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2:16" ht="30" customHeight="1" x14ac:dyDescent="0.25"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2:16" ht="30" customHeight="1" x14ac:dyDescent="0.25"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2:16" ht="30" customHeight="1" x14ac:dyDescent="0.25">
      <c r="B56" s="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2:16" ht="30" customHeight="1" x14ac:dyDescent="0.25"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2:16" ht="30" customHeight="1" x14ac:dyDescent="0.25"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2:16" ht="30" customHeight="1" x14ac:dyDescent="0.25"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2:16" ht="30" customHeight="1" x14ac:dyDescent="0.25"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2:16" ht="30" customHeight="1" x14ac:dyDescent="0.25">
      <c r="B61" s="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2:16" ht="30" customHeight="1" x14ac:dyDescent="0.25"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2:16" ht="30" customHeight="1" x14ac:dyDescent="0.25"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2:16" ht="30" customHeight="1" x14ac:dyDescent="0.25">
      <c r="B64" s="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30" customHeight="1" x14ac:dyDescent="0.25"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30" customHeight="1" x14ac:dyDescent="0.25">
      <c r="B66" s="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30" customHeight="1" x14ac:dyDescent="0.25">
      <c r="B67" s="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30" customHeight="1" x14ac:dyDescent="0.25">
      <c r="B68" s="6"/>
    </row>
    <row r="69" spans="1:16" ht="30" customHeight="1" x14ac:dyDescent="0.25">
      <c r="B69" s="6"/>
    </row>
    <row r="70" spans="1:16" ht="30" customHeight="1" x14ac:dyDescent="0.25">
      <c r="B70" s="6"/>
    </row>
    <row r="71" spans="1:16" s="5" customFormat="1" ht="30" customHeight="1" x14ac:dyDescent="0.25">
      <c r="A71"/>
      <c r="B71" s="6"/>
    </row>
    <row r="72" spans="1:16" s="5" customFormat="1" ht="30" customHeight="1" x14ac:dyDescent="0.25">
      <c r="A72"/>
      <c r="B72" s="6"/>
    </row>
    <row r="73" spans="1:16" s="5" customFormat="1" ht="30" customHeight="1" x14ac:dyDescent="0.25">
      <c r="A73"/>
      <c r="B73" s="6"/>
    </row>
    <row r="74" spans="1:16" s="5" customFormat="1" ht="30" customHeight="1" x14ac:dyDescent="0.25">
      <c r="A74"/>
      <c r="B74" s="6"/>
    </row>
    <row r="75" spans="1:16" s="5" customFormat="1" ht="30" customHeight="1" x14ac:dyDescent="0.25">
      <c r="A75"/>
      <c r="B75" s="6"/>
    </row>
    <row r="76" spans="1:16" s="5" customFormat="1" ht="30" customHeight="1" x14ac:dyDescent="0.25">
      <c r="A76"/>
      <c r="B76" s="6"/>
    </row>
    <row r="77" spans="1:16" s="5" customFormat="1" ht="30" customHeight="1" x14ac:dyDescent="0.25">
      <c r="A77"/>
      <c r="B77" s="6"/>
    </row>
    <row r="78" spans="1:16" s="5" customFormat="1" ht="30" customHeight="1" x14ac:dyDescent="0.25">
      <c r="A78"/>
      <c r="B78" s="6"/>
    </row>
    <row r="79" spans="1:16" s="5" customFormat="1" ht="30" customHeight="1" x14ac:dyDescent="0.25">
      <c r="A79"/>
      <c r="B79" s="6"/>
    </row>
    <row r="80" spans="1:16" s="5" customFormat="1" ht="30" customHeight="1" x14ac:dyDescent="0.25">
      <c r="A80"/>
      <c r="B80" s="6"/>
    </row>
    <row r="81" spans="1:2" s="5" customFormat="1" ht="30" customHeight="1" x14ac:dyDescent="0.25">
      <c r="A81"/>
      <c r="B81" s="6"/>
    </row>
    <row r="82" spans="1:2" s="5" customFormat="1" ht="30" customHeight="1" x14ac:dyDescent="0.25">
      <c r="A82"/>
      <c r="B82" s="6"/>
    </row>
    <row r="83" spans="1:2" s="5" customFormat="1" ht="30" customHeight="1" x14ac:dyDescent="0.25">
      <c r="A83"/>
      <c r="B83" s="6"/>
    </row>
    <row r="84" spans="1:2" s="5" customFormat="1" ht="30" customHeight="1" x14ac:dyDescent="0.25">
      <c r="A84"/>
      <c r="B84" s="6"/>
    </row>
    <row r="85" spans="1:2" s="5" customFormat="1" ht="30" customHeight="1" x14ac:dyDescent="0.25">
      <c r="A85"/>
      <c r="B85" s="6"/>
    </row>
    <row r="86" spans="1:2" s="5" customFormat="1" ht="30" customHeight="1" x14ac:dyDescent="0.25">
      <c r="A86"/>
      <c r="B86" s="6"/>
    </row>
    <row r="87" spans="1:2" s="5" customFormat="1" ht="30" customHeight="1" x14ac:dyDescent="0.25">
      <c r="A87"/>
      <c r="B87" s="6"/>
    </row>
    <row r="88" spans="1:2" s="5" customFormat="1" ht="30" customHeight="1" x14ac:dyDescent="0.25">
      <c r="A88"/>
      <c r="B88" s="6"/>
    </row>
    <row r="89" spans="1:2" s="5" customFormat="1" ht="30" customHeight="1" x14ac:dyDescent="0.25">
      <c r="A89"/>
      <c r="B89" s="6"/>
    </row>
    <row r="90" spans="1:2" s="5" customFormat="1" ht="30" customHeight="1" x14ac:dyDescent="0.25">
      <c r="A90"/>
      <c r="B90" s="6"/>
    </row>
    <row r="91" spans="1:2" s="5" customFormat="1" ht="30" customHeight="1" x14ac:dyDescent="0.25">
      <c r="A91"/>
      <c r="B91" s="6"/>
    </row>
    <row r="92" spans="1:2" s="5" customFormat="1" ht="30" customHeight="1" x14ac:dyDescent="0.25">
      <c r="A92"/>
      <c r="B92" s="6"/>
    </row>
    <row r="93" spans="1:2" s="5" customFormat="1" ht="30" customHeight="1" x14ac:dyDescent="0.25">
      <c r="A93"/>
      <c r="B93" s="6"/>
    </row>
    <row r="94" spans="1:2" s="5" customFormat="1" ht="30" customHeight="1" x14ac:dyDescent="0.25">
      <c r="A94"/>
      <c r="B94" s="6"/>
    </row>
    <row r="95" spans="1:2" s="5" customFormat="1" ht="30" customHeight="1" x14ac:dyDescent="0.25">
      <c r="A95"/>
      <c r="B95" s="6"/>
    </row>
    <row r="96" spans="1:2" s="5" customFormat="1" ht="30" customHeight="1" x14ac:dyDescent="0.25">
      <c r="A96"/>
      <c r="B96" s="6"/>
    </row>
    <row r="97" spans="1:2" s="5" customFormat="1" ht="30" customHeight="1" x14ac:dyDescent="0.25">
      <c r="A97"/>
      <c r="B97" s="6"/>
    </row>
    <row r="98" spans="1:2" s="5" customFormat="1" ht="30" customHeight="1" x14ac:dyDescent="0.25">
      <c r="A98"/>
      <c r="B98" s="6"/>
    </row>
    <row r="99" spans="1:2" s="5" customFormat="1" ht="30" customHeight="1" x14ac:dyDescent="0.25">
      <c r="A99"/>
      <c r="B99" s="6"/>
    </row>
    <row r="100" spans="1:2" s="5" customFormat="1" ht="30" customHeight="1" x14ac:dyDescent="0.25">
      <c r="A100"/>
      <c r="B100" s="6"/>
    </row>
    <row r="101" spans="1:2" s="5" customFormat="1" ht="30" customHeight="1" x14ac:dyDescent="0.25">
      <c r="A101"/>
      <c r="B101" s="6"/>
    </row>
    <row r="102" spans="1:2" s="5" customFormat="1" ht="30" customHeight="1" x14ac:dyDescent="0.25">
      <c r="A102"/>
      <c r="B102" s="6"/>
    </row>
    <row r="103" spans="1:2" s="5" customFormat="1" ht="30" customHeight="1" x14ac:dyDescent="0.25">
      <c r="A103"/>
      <c r="B103" s="6"/>
    </row>
    <row r="104" spans="1:2" s="5" customFormat="1" ht="30" customHeight="1" x14ac:dyDescent="0.25">
      <c r="A104"/>
      <c r="B104" s="6"/>
    </row>
    <row r="105" spans="1:2" s="5" customFormat="1" ht="30" customHeight="1" x14ac:dyDescent="0.25">
      <c r="A105"/>
      <c r="B105" s="6"/>
    </row>
    <row r="106" spans="1:2" s="5" customFormat="1" ht="30" customHeight="1" x14ac:dyDescent="0.25">
      <c r="A106"/>
      <c r="B106" s="6"/>
    </row>
    <row r="107" spans="1:2" s="5" customFormat="1" ht="30" customHeight="1" x14ac:dyDescent="0.25">
      <c r="A107"/>
      <c r="B107" s="6"/>
    </row>
    <row r="108" spans="1:2" s="5" customFormat="1" ht="30" customHeight="1" x14ac:dyDescent="0.25">
      <c r="A108"/>
      <c r="B108" s="6"/>
    </row>
    <row r="109" spans="1:2" s="5" customFormat="1" ht="30" customHeight="1" x14ac:dyDescent="0.25">
      <c r="A109"/>
      <c r="B109" s="6"/>
    </row>
    <row r="110" spans="1:2" s="5" customFormat="1" ht="30" customHeight="1" x14ac:dyDescent="0.25">
      <c r="A110"/>
      <c r="B110" s="6"/>
    </row>
    <row r="111" spans="1:2" s="5" customFormat="1" ht="30" customHeight="1" x14ac:dyDescent="0.25">
      <c r="A111"/>
      <c r="B111" s="6"/>
    </row>
    <row r="112" spans="1:2" s="5" customFormat="1" ht="30" customHeight="1" x14ac:dyDescent="0.25">
      <c r="A112"/>
      <c r="B112" s="6"/>
    </row>
    <row r="113" spans="1:2" s="5" customFormat="1" ht="30" customHeight="1" x14ac:dyDescent="0.25">
      <c r="A113"/>
      <c r="B113" s="6"/>
    </row>
    <row r="114" spans="1:2" s="5" customFormat="1" ht="30" customHeight="1" x14ac:dyDescent="0.25">
      <c r="A114"/>
      <c r="B114" s="6"/>
    </row>
    <row r="115" spans="1:2" s="5" customFormat="1" ht="30" customHeight="1" x14ac:dyDescent="0.25">
      <c r="A115"/>
      <c r="B115" s="6"/>
    </row>
    <row r="116" spans="1:2" s="5" customFormat="1" ht="30" customHeight="1" x14ac:dyDescent="0.25">
      <c r="A116"/>
      <c r="B116" s="6"/>
    </row>
    <row r="117" spans="1:2" s="5" customFormat="1" ht="30" customHeight="1" x14ac:dyDescent="0.25">
      <c r="A117"/>
      <c r="B117" s="6"/>
    </row>
    <row r="118" spans="1:2" s="5" customFormat="1" ht="30" customHeight="1" x14ac:dyDescent="0.25">
      <c r="A118"/>
      <c r="B118" s="6"/>
    </row>
    <row r="119" spans="1:2" s="5" customFormat="1" ht="30" customHeight="1" x14ac:dyDescent="0.25">
      <c r="A119"/>
      <c r="B119" s="6"/>
    </row>
    <row r="120" spans="1:2" s="5" customFormat="1" ht="30" customHeight="1" x14ac:dyDescent="0.25">
      <c r="A120"/>
      <c r="B120" s="6"/>
    </row>
    <row r="121" spans="1:2" s="5" customFormat="1" ht="30" customHeight="1" x14ac:dyDescent="0.25">
      <c r="A121"/>
      <c r="B121" s="6"/>
    </row>
    <row r="122" spans="1:2" s="5" customFormat="1" ht="30" customHeight="1" x14ac:dyDescent="0.25">
      <c r="A122"/>
      <c r="B122" s="6"/>
    </row>
    <row r="123" spans="1:2" s="5" customFormat="1" ht="30" customHeight="1" x14ac:dyDescent="0.25">
      <c r="A123"/>
      <c r="B123" s="6"/>
    </row>
    <row r="124" spans="1:2" s="5" customFormat="1" ht="30" customHeight="1" x14ac:dyDescent="0.25">
      <c r="A124"/>
      <c r="B124" s="6"/>
    </row>
    <row r="125" spans="1:2" s="5" customFormat="1" ht="30" customHeight="1" x14ac:dyDescent="0.25">
      <c r="A125"/>
      <c r="B125" s="6"/>
    </row>
    <row r="126" spans="1:2" s="5" customFormat="1" ht="30" customHeight="1" x14ac:dyDescent="0.25">
      <c r="A126"/>
      <c r="B126" s="6"/>
    </row>
    <row r="127" spans="1:2" s="5" customFormat="1" ht="30" customHeight="1" x14ac:dyDescent="0.25">
      <c r="A127"/>
      <c r="B127" s="6"/>
    </row>
    <row r="128" spans="1:2" s="5" customFormat="1" ht="30" customHeight="1" x14ac:dyDescent="0.25">
      <c r="A128"/>
      <c r="B128" s="6"/>
    </row>
    <row r="129" spans="1:2" s="5" customFormat="1" ht="30" customHeight="1" x14ac:dyDescent="0.25">
      <c r="A129"/>
      <c r="B129" s="6"/>
    </row>
    <row r="130" spans="1:2" s="5" customFormat="1" ht="30" customHeight="1" x14ac:dyDescent="0.25">
      <c r="A130"/>
      <c r="B130" s="6"/>
    </row>
    <row r="131" spans="1:2" s="5" customFormat="1" ht="30" customHeight="1" x14ac:dyDescent="0.25">
      <c r="A131"/>
      <c r="B131" s="6"/>
    </row>
    <row r="132" spans="1:2" s="5" customFormat="1" ht="30" customHeight="1" x14ac:dyDescent="0.25">
      <c r="A132"/>
      <c r="B132" s="6"/>
    </row>
    <row r="133" spans="1:2" s="5" customFormat="1" ht="30" customHeight="1" x14ac:dyDescent="0.25">
      <c r="A133"/>
      <c r="B133" s="6"/>
    </row>
    <row r="134" spans="1:2" s="5" customFormat="1" ht="30" customHeight="1" x14ac:dyDescent="0.25">
      <c r="A134"/>
      <c r="B134" s="6"/>
    </row>
    <row r="135" spans="1:2" s="5" customFormat="1" ht="30" customHeight="1" x14ac:dyDescent="0.25">
      <c r="A135"/>
      <c r="B135" s="6"/>
    </row>
    <row r="136" spans="1:2" s="5" customFormat="1" ht="30" customHeight="1" x14ac:dyDescent="0.25">
      <c r="A136"/>
      <c r="B136" s="6"/>
    </row>
    <row r="137" spans="1:2" s="5" customFormat="1" ht="30" customHeight="1" x14ac:dyDescent="0.25">
      <c r="A137"/>
      <c r="B137" s="6"/>
    </row>
    <row r="138" spans="1:2" s="5" customFormat="1" ht="30" customHeight="1" x14ac:dyDescent="0.25">
      <c r="A138"/>
      <c r="B138" s="6"/>
    </row>
    <row r="139" spans="1:2" s="5" customFormat="1" ht="30" customHeight="1" x14ac:dyDescent="0.25">
      <c r="A139"/>
      <c r="B139" s="6"/>
    </row>
    <row r="140" spans="1:2" s="5" customFormat="1" ht="30" customHeight="1" x14ac:dyDescent="0.25">
      <c r="A140"/>
      <c r="B140" s="6"/>
    </row>
    <row r="141" spans="1:2" s="5" customFormat="1" ht="30" customHeight="1" x14ac:dyDescent="0.25">
      <c r="A141"/>
      <c r="B141" s="6"/>
    </row>
    <row r="142" spans="1:2" s="5" customFormat="1" ht="30" customHeight="1" x14ac:dyDescent="0.25">
      <c r="A142"/>
      <c r="B142" s="6"/>
    </row>
    <row r="143" spans="1:2" s="5" customFormat="1" ht="30" customHeight="1" x14ac:dyDescent="0.25">
      <c r="A143"/>
      <c r="B143" s="6"/>
    </row>
    <row r="144" spans="1:2" s="5" customFormat="1" ht="30" customHeight="1" x14ac:dyDescent="0.25">
      <c r="A144"/>
      <c r="B144" s="6"/>
    </row>
    <row r="145" spans="1:2" s="5" customFormat="1" ht="30" customHeight="1" x14ac:dyDescent="0.25">
      <c r="A145"/>
      <c r="B145" s="6"/>
    </row>
    <row r="146" spans="1:2" s="5" customFormat="1" ht="30" customHeight="1" x14ac:dyDescent="0.25">
      <c r="A146"/>
      <c r="B146" s="6"/>
    </row>
    <row r="147" spans="1:2" s="5" customFormat="1" ht="30" customHeight="1" x14ac:dyDescent="0.25">
      <c r="A147"/>
      <c r="B147" s="6"/>
    </row>
    <row r="148" spans="1:2" s="5" customFormat="1" ht="30" customHeight="1" x14ac:dyDescent="0.25">
      <c r="A148"/>
      <c r="B148" s="6"/>
    </row>
    <row r="149" spans="1:2" s="5" customFormat="1" ht="30" customHeight="1" x14ac:dyDescent="0.25">
      <c r="A149"/>
      <c r="B149" s="6"/>
    </row>
    <row r="150" spans="1:2" s="5" customFormat="1" ht="30" customHeight="1" x14ac:dyDescent="0.25">
      <c r="A150"/>
      <c r="B150" s="6"/>
    </row>
    <row r="151" spans="1:2" s="5" customFormat="1" ht="30" customHeight="1" x14ac:dyDescent="0.25">
      <c r="A151"/>
      <c r="B151" s="6"/>
    </row>
    <row r="152" spans="1:2" s="5" customFormat="1" ht="30" customHeight="1" x14ac:dyDescent="0.25">
      <c r="A152"/>
      <c r="B152" s="6"/>
    </row>
    <row r="153" spans="1:2" s="5" customFormat="1" ht="30" customHeight="1" x14ac:dyDescent="0.25">
      <c r="A153"/>
      <c r="B153" s="6"/>
    </row>
    <row r="154" spans="1:2" s="5" customFormat="1" ht="30" customHeight="1" x14ac:dyDescent="0.25">
      <c r="A154"/>
      <c r="B154" s="6"/>
    </row>
    <row r="155" spans="1:2" s="5" customFormat="1" ht="30" customHeight="1" x14ac:dyDescent="0.25">
      <c r="A155"/>
      <c r="B155" s="6"/>
    </row>
    <row r="156" spans="1:2" s="5" customFormat="1" ht="30" customHeight="1" x14ac:dyDescent="0.25">
      <c r="A156"/>
      <c r="B156" s="6"/>
    </row>
    <row r="157" spans="1:2" s="5" customFormat="1" ht="30" customHeight="1" x14ac:dyDescent="0.25">
      <c r="A157"/>
      <c r="B157" s="6"/>
    </row>
    <row r="158" spans="1:2" s="5" customFormat="1" ht="30" customHeight="1" x14ac:dyDescent="0.25">
      <c r="A158"/>
      <c r="B158" s="6"/>
    </row>
    <row r="159" spans="1:2" s="5" customFormat="1" ht="30" customHeight="1" x14ac:dyDescent="0.25">
      <c r="A159"/>
      <c r="B159" s="6"/>
    </row>
    <row r="160" spans="1:2" s="5" customFormat="1" ht="30" customHeight="1" x14ac:dyDescent="0.25">
      <c r="A160"/>
      <c r="B160" s="6"/>
    </row>
    <row r="161" spans="1:2" s="5" customFormat="1" ht="30" customHeight="1" x14ac:dyDescent="0.25">
      <c r="A161"/>
      <c r="B161" s="6"/>
    </row>
    <row r="162" spans="1:2" s="5" customFormat="1" ht="30" customHeight="1" x14ac:dyDescent="0.25">
      <c r="A162"/>
      <c r="B162" s="6"/>
    </row>
    <row r="163" spans="1:2" s="5" customFormat="1" ht="30" customHeight="1" x14ac:dyDescent="0.25">
      <c r="A163"/>
      <c r="B163" s="6"/>
    </row>
    <row r="164" spans="1:2" s="5" customFormat="1" ht="30" customHeight="1" x14ac:dyDescent="0.25">
      <c r="A164"/>
      <c r="B164" s="6"/>
    </row>
    <row r="165" spans="1:2" s="5" customFormat="1" ht="30" customHeight="1" x14ac:dyDescent="0.25">
      <c r="A165"/>
      <c r="B165" s="6"/>
    </row>
    <row r="166" spans="1:2" s="5" customFormat="1" ht="30" customHeight="1" x14ac:dyDescent="0.25">
      <c r="A166"/>
      <c r="B166" s="6"/>
    </row>
    <row r="167" spans="1:2" s="5" customFormat="1" ht="30" customHeight="1" x14ac:dyDescent="0.25">
      <c r="A167"/>
      <c r="B167" s="6"/>
    </row>
    <row r="168" spans="1:2" s="5" customFormat="1" ht="30" customHeight="1" x14ac:dyDescent="0.25">
      <c r="A168"/>
      <c r="B168" s="6"/>
    </row>
    <row r="169" spans="1:2" s="5" customFormat="1" ht="30" customHeight="1" x14ac:dyDescent="0.25">
      <c r="A169"/>
      <c r="B169" s="6"/>
    </row>
    <row r="170" spans="1:2" s="5" customFormat="1" ht="30" customHeight="1" x14ac:dyDescent="0.25">
      <c r="A170"/>
      <c r="B170" s="6"/>
    </row>
    <row r="171" spans="1:2" s="5" customFormat="1" ht="30" customHeight="1" x14ac:dyDescent="0.25">
      <c r="A171"/>
      <c r="B171" s="6"/>
    </row>
    <row r="172" spans="1:2" s="5" customFormat="1" ht="30" customHeight="1" x14ac:dyDescent="0.25">
      <c r="A172"/>
      <c r="B172" s="6"/>
    </row>
    <row r="173" spans="1:2" s="5" customFormat="1" ht="30" customHeight="1" x14ac:dyDescent="0.25">
      <c r="A173"/>
      <c r="B173" s="6"/>
    </row>
    <row r="174" spans="1:2" s="5" customFormat="1" ht="30" customHeight="1" x14ac:dyDescent="0.25">
      <c r="A174"/>
      <c r="B174" s="6"/>
    </row>
    <row r="175" spans="1:2" s="5" customFormat="1" ht="30" customHeight="1" x14ac:dyDescent="0.25">
      <c r="A175"/>
      <c r="B175" s="6"/>
    </row>
    <row r="176" spans="1:2" s="5" customFormat="1" ht="30" customHeight="1" x14ac:dyDescent="0.25">
      <c r="A176"/>
      <c r="B176" s="6"/>
    </row>
    <row r="177" spans="1:2" s="5" customFormat="1" ht="30" customHeight="1" x14ac:dyDescent="0.25">
      <c r="A177"/>
      <c r="B177" s="6"/>
    </row>
    <row r="178" spans="1:2" s="5" customFormat="1" ht="30" customHeight="1" x14ac:dyDescent="0.25">
      <c r="A178"/>
      <c r="B178" s="6"/>
    </row>
    <row r="179" spans="1:2" s="5" customFormat="1" ht="30" customHeight="1" x14ac:dyDescent="0.25">
      <c r="A179"/>
      <c r="B179" s="6"/>
    </row>
    <row r="180" spans="1:2" s="5" customFormat="1" ht="30" customHeight="1" x14ac:dyDescent="0.25">
      <c r="A180"/>
      <c r="B180" s="6"/>
    </row>
    <row r="181" spans="1:2" s="5" customFormat="1" ht="30" customHeight="1" x14ac:dyDescent="0.25">
      <c r="A181"/>
      <c r="B181" s="6"/>
    </row>
    <row r="182" spans="1:2" s="5" customFormat="1" ht="30" customHeight="1" x14ac:dyDescent="0.25">
      <c r="A182"/>
      <c r="B182" s="6"/>
    </row>
    <row r="183" spans="1:2" s="5" customFormat="1" ht="30" customHeight="1" x14ac:dyDescent="0.25">
      <c r="A183"/>
      <c r="B183" s="6"/>
    </row>
    <row r="184" spans="1:2" s="5" customFormat="1" ht="30" customHeight="1" x14ac:dyDescent="0.25">
      <c r="A184"/>
      <c r="B184" s="6"/>
    </row>
    <row r="185" spans="1:2" s="5" customFormat="1" ht="30" customHeight="1" x14ac:dyDescent="0.25">
      <c r="A185"/>
      <c r="B185" s="6"/>
    </row>
    <row r="186" spans="1:2" s="5" customFormat="1" ht="30" customHeight="1" x14ac:dyDescent="0.25">
      <c r="A186"/>
      <c r="B186" s="6"/>
    </row>
    <row r="187" spans="1:2" s="5" customFormat="1" ht="30" customHeight="1" x14ac:dyDescent="0.25">
      <c r="A187"/>
      <c r="B187" s="6"/>
    </row>
    <row r="188" spans="1:2" s="5" customFormat="1" ht="30" customHeight="1" x14ac:dyDescent="0.25">
      <c r="A188"/>
      <c r="B188" s="6"/>
    </row>
    <row r="189" spans="1:2" s="5" customFormat="1" ht="30" customHeight="1" x14ac:dyDescent="0.25">
      <c r="A189"/>
      <c r="B189" s="6"/>
    </row>
    <row r="190" spans="1:2" s="5" customFormat="1" ht="30" customHeight="1" x14ac:dyDescent="0.25">
      <c r="A190"/>
      <c r="B190" s="6"/>
    </row>
    <row r="191" spans="1:2" s="5" customFormat="1" ht="30" customHeight="1" x14ac:dyDescent="0.25">
      <c r="A191"/>
      <c r="B191" s="6"/>
    </row>
    <row r="192" spans="1:2" s="5" customFormat="1" ht="30" customHeight="1" x14ac:dyDescent="0.25">
      <c r="A192"/>
      <c r="B192" s="6"/>
    </row>
    <row r="193" spans="1:2" s="5" customFormat="1" ht="30" customHeight="1" x14ac:dyDescent="0.25">
      <c r="A193"/>
      <c r="B193" s="6"/>
    </row>
    <row r="194" spans="1:2" s="5" customFormat="1" ht="30" customHeight="1" x14ac:dyDescent="0.25">
      <c r="A194"/>
      <c r="B194" s="6"/>
    </row>
    <row r="195" spans="1:2" s="5" customFormat="1" ht="30" customHeight="1" x14ac:dyDescent="0.25">
      <c r="A195"/>
      <c r="B195" s="6"/>
    </row>
    <row r="196" spans="1:2" s="5" customFormat="1" ht="30" customHeight="1" x14ac:dyDescent="0.25">
      <c r="A196"/>
      <c r="B196" s="6"/>
    </row>
    <row r="197" spans="1:2" s="5" customFormat="1" ht="30" customHeight="1" x14ac:dyDescent="0.25">
      <c r="A197"/>
      <c r="B197" s="6"/>
    </row>
    <row r="198" spans="1:2" s="5" customFormat="1" ht="30" customHeight="1" x14ac:dyDescent="0.25">
      <c r="A198"/>
      <c r="B198" s="6"/>
    </row>
    <row r="199" spans="1:2" s="5" customFormat="1" ht="30" customHeight="1" x14ac:dyDescent="0.25">
      <c r="A199"/>
      <c r="B199" s="6"/>
    </row>
    <row r="200" spans="1:2" s="5" customFormat="1" ht="30" customHeight="1" x14ac:dyDescent="0.25">
      <c r="A200"/>
      <c r="B200" s="6"/>
    </row>
    <row r="201" spans="1:2" s="5" customFormat="1" ht="30" customHeight="1" x14ac:dyDescent="0.25">
      <c r="A201"/>
      <c r="B201" s="6"/>
    </row>
    <row r="202" spans="1:2" s="5" customFormat="1" ht="30" customHeight="1" x14ac:dyDescent="0.25">
      <c r="A202"/>
      <c r="B202" s="6"/>
    </row>
    <row r="203" spans="1:2" s="5" customFormat="1" ht="30" customHeight="1" x14ac:dyDescent="0.25">
      <c r="A203"/>
      <c r="B203" s="6"/>
    </row>
    <row r="204" spans="1:2" s="5" customFormat="1" ht="30" customHeight="1" x14ac:dyDescent="0.25">
      <c r="A204"/>
      <c r="B204" s="6"/>
    </row>
    <row r="205" spans="1:2" s="5" customFormat="1" ht="30" customHeight="1" x14ac:dyDescent="0.25">
      <c r="A205"/>
      <c r="B205" s="6"/>
    </row>
    <row r="206" spans="1:2" s="5" customFormat="1" ht="30" customHeight="1" x14ac:dyDescent="0.25">
      <c r="A206"/>
      <c r="B206" s="6"/>
    </row>
    <row r="207" spans="1:2" s="5" customFormat="1" ht="30" customHeight="1" x14ac:dyDescent="0.25">
      <c r="A207"/>
      <c r="B207" s="6"/>
    </row>
    <row r="208" spans="1:2" s="5" customFormat="1" ht="30" customHeight="1" x14ac:dyDescent="0.25">
      <c r="A208"/>
      <c r="B208" s="6"/>
    </row>
    <row r="209" spans="1:2" s="5" customFormat="1" ht="30" customHeight="1" x14ac:dyDescent="0.25">
      <c r="A209"/>
      <c r="B209" s="6"/>
    </row>
    <row r="210" spans="1:2" s="5" customFormat="1" ht="30" customHeight="1" x14ac:dyDescent="0.25">
      <c r="A210"/>
      <c r="B210" s="6"/>
    </row>
    <row r="211" spans="1:2" s="5" customFormat="1" ht="30" customHeight="1" x14ac:dyDescent="0.25">
      <c r="A211"/>
      <c r="B211" s="6"/>
    </row>
    <row r="212" spans="1:2" s="5" customFormat="1" ht="30" customHeight="1" x14ac:dyDescent="0.25">
      <c r="A212"/>
      <c r="B212" s="6"/>
    </row>
    <row r="213" spans="1:2" s="5" customFormat="1" ht="30" customHeight="1" x14ac:dyDescent="0.25">
      <c r="A213"/>
      <c r="B213" s="6"/>
    </row>
    <row r="214" spans="1:2" s="5" customFormat="1" ht="30" customHeight="1" x14ac:dyDescent="0.25">
      <c r="A214"/>
      <c r="B214" s="6"/>
    </row>
    <row r="215" spans="1:2" s="5" customFormat="1" ht="30" customHeight="1" x14ac:dyDescent="0.25">
      <c r="A215"/>
      <c r="B215" s="6"/>
    </row>
    <row r="216" spans="1:2" s="5" customFormat="1" ht="30" customHeight="1" x14ac:dyDescent="0.25">
      <c r="A216"/>
      <c r="B216" s="6"/>
    </row>
    <row r="217" spans="1:2" s="5" customFormat="1" ht="30" customHeight="1" x14ac:dyDescent="0.25">
      <c r="A217"/>
      <c r="B217" s="6"/>
    </row>
    <row r="218" spans="1:2" s="5" customFormat="1" ht="30" customHeight="1" x14ac:dyDescent="0.25">
      <c r="A218"/>
      <c r="B218" s="6"/>
    </row>
    <row r="219" spans="1:2" s="5" customFormat="1" ht="30" customHeight="1" x14ac:dyDescent="0.25">
      <c r="A219"/>
      <c r="B219" s="6"/>
    </row>
    <row r="220" spans="1:2" s="5" customFormat="1" ht="30" customHeight="1" x14ac:dyDescent="0.25">
      <c r="A220"/>
      <c r="B220" s="6"/>
    </row>
    <row r="221" spans="1:2" s="5" customFormat="1" ht="30" customHeight="1" x14ac:dyDescent="0.25">
      <c r="A221"/>
      <c r="B221" s="6"/>
    </row>
    <row r="222" spans="1:2" s="5" customFormat="1" ht="30" customHeight="1" x14ac:dyDescent="0.25">
      <c r="A222"/>
      <c r="B222" s="6"/>
    </row>
    <row r="223" spans="1:2" s="5" customFormat="1" ht="30" customHeight="1" x14ac:dyDescent="0.25">
      <c r="A223"/>
      <c r="B223" s="6"/>
    </row>
    <row r="224" spans="1:2" s="5" customFormat="1" ht="30" customHeight="1" x14ac:dyDescent="0.25">
      <c r="A224"/>
      <c r="B224" s="6"/>
    </row>
    <row r="225" spans="1:2" s="5" customFormat="1" ht="30" customHeight="1" x14ac:dyDescent="0.25">
      <c r="A225"/>
      <c r="B225" s="6"/>
    </row>
    <row r="226" spans="1:2" s="5" customFormat="1" ht="30" customHeight="1" x14ac:dyDescent="0.25">
      <c r="A226"/>
      <c r="B226" s="6"/>
    </row>
    <row r="227" spans="1:2" s="5" customFormat="1" ht="30" customHeight="1" x14ac:dyDescent="0.25">
      <c r="A227"/>
      <c r="B227" s="6"/>
    </row>
    <row r="228" spans="1:2" s="5" customFormat="1" ht="30" customHeight="1" x14ac:dyDescent="0.25">
      <c r="A228"/>
      <c r="B228" s="6"/>
    </row>
    <row r="229" spans="1:2" s="5" customFormat="1" ht="30" customHeight="1" x14ac:dyDescent="0.25">
      <c r="A229"/>
      <c r="B229" s="6"/>
    </row>
    <row r="230" spans="1:2" s="5" customFormat="1" ht="30" customHeight="1" x14ac:dyDescent="0.25">
      <c r="A230"/>
      <c r="B230" s="6"/>
    </row>
    <row r="231" spans="1:2" s="5" customFormat="1" ht="30" customHeight="1" x14ac:dyDescent="0.25">
      <c r="A231"/>
      <c r="B231" s="6"/>
    </row>
    <row r="232" spans="1:2" s="5" customFormat="1" ht="30" customHeight="1" x14ac:dyDescent="0.25">
      <c r="A232"/>
      <c r="B232" s="6"/>
    </row>
    <row r="233" spans="1:2" s="5" customFormat="1" ht="30" customHeight="1" x14ac:dyDescent="0.25">
      <c r="A233"/>
      <c r="B233" s="6"/>
    </row>
    <row r="234" spans="1:2" s="5" customFormat="1" ht="30" customHeight="1" x14ac:dyDescent="0.25">
      <c r="A234"/>
      <c r="B234" s="6"/>
    </row>
    <row r="235" spans="1:2" s="5" customFormat="1" ht="30" customHeight="1" x14ac:dyDescent="0.25">
      <c r="A235"/>
      <c r="B235" s="6"/>
    </row>
    <row r="236" spans="1:2" s="5" customFormat="1" ht="30" customHeight="1" x14ac:dyDescent="0.25">
      <c r="A236"/>
      <c r="B236" s="6"/>
    </row>
    <row r="237" spans="1:2" s="5" customFormat="1" ht="30" customHeight="1" x14ac:dyDescent="0.25">
      <c r="A237"/>
      <c r="B237" s="6"/>
    </row>
    <row r="238" spans="1:2" s="5" customFormat="1" ht="30" customHeight="1" x14ac:dyDescent="0.25">
      <c r="A238"/>
      <c r="B238" s="6"/>
    </row>
    <row r="239" spans="1:2" s="5" customFormat="1" ht="30" customHeight="1" x14ac:dyDescent="0.25">
      <c r="A239"/>
      <c r="B239" s="6"/>
    </row>
    <row r="240" spans="1:2" s="5" customFormat="1" ht="30" customHeight="1" x14ac:dyDescent="0.25">
      <c r="A240"/>
      <c r="B240" s="6"/>
    </row>
    <row r="241" spans="1:2" s="5" customFormat="1" ht="30" customHeight="1" x14ac:dyDescent="0.25">
      <c r="A241"/>
      <c r="B241" s="6"/>
    </row>
    <row r="242" spans="1:2" s="5" customFormat="1" ht="30" customHeight="1" x14ac:dyDescent="0.25">
      <c r="A242"/>
      <c r="B242" s="6"/>
    </row>
    <row r="243" spans="1:2" s="5" customFormat="1" ht="30" customHeight="1" x14ac:dyDescent="0.25">
      <c r="A243"/>
      <c r="B243" s="6"/>
    </row>
    <row r="244" spans="1:2" s="5" customFormat="1" ht="30" customHeight="1" x14ac:dyDescent="0.25">
      <c r="A244"/>
      <c r="B244" s="6"/>
    </row>
    <row r="245" spans="1:2" s="5" customFormat="1" ht="30" customHeight="1" x14ac:dyDescent="0.25">
      <c r="A245"/>
      <c r="B245" s="6"/>
    </row>
    <row r="246" spans="1:2" s="5" customFormat="1" ht="30" customHeight="1" x14ac:dyDescent="0.25">
      <c r="A246"/>
      <c r="B246" s="6"/>
    </row>
    <row r="247" spans="1:2" s="5" customFormat="1" ht="30" customHeight="1" x14ac:dyDescent="0.25">
      <c r="A247"/>
      <c r="B247" s="6"/>
    </row>
    <row r="248" spans="1:2" s="5" customFormat="1" ht="30" customHeight="1" x14ac:dyDescent="0.25">
      <c r="A248"/>
      <c r="B248" s="6"/>
    </row>
    <row r="249" spans="1:2" s="5" customFormat="1" ht="30" customHeight="1" x14ac:dyDescent="0.25">
      <c r="A249"/>
      <c r="B249" s="6"/>
    </row>
    <row r="250" spans="1:2" s="5" customFormat="1" ht="30" customHeight="1" x14ac:dyDescent="0.25">
      <c r="A250"/>
      <c r="B250" s="6"/>
    </row>
    <row r="251" spans="1:2" s="5" customFormat="1" ht="30" customHeight="1" x14ac:dyDescent="0.25">
      <c r="A251"/>
      <c r="B251" s="6"/>
    </row>
    <row r="252" spans="1:2" s="5" customFormat="1" ht="30" customHeight="1" x14ac:dyDescent="0.25">
      <c r="A252"/>
      <c r="B252" s="6"/>
    </row>
    <row r="253" spans="1:2" s="5" customFormat="1" ht="30" customHeight="1" x14ac:dyDescent="0.25">
      <c r="A253"/>
      <c r="B253" s="6"/>
    </row>
    <row r="254" spans="1:2" s="5" customFormat="1" ht="30" customHeight="1" x14ac:dyDescent="0.25">
      <c r="A254"/>
      <c r="B254" s="6"/>
    </row>
    <row r="255" spans="1:2" s="5" customFormat="1" ht="30" customHeight="1" x14ac:dyDescent="0.25">
      <c r="A255"/>
      <c r="B255" s="6"/>
    </row>
    <row r="256" spans="1:2" s="5" customFormat="1" ht="30" customHeight="1" x14ac:dyDescent="0.25">
      <c r="A256"/>
      <c r="B256" s="6"/>
    </row>
    <row r="257" spans="1:2" s="5" customFormat="1" ht="30" customHeight="1" x14ac:dyDescent="0.25">
      <c r="A257"/>
      <c r="B257" s="6"/>
    </row>
    <row r="258" spans="1:2" s="5" customFormat="1" ht="30" customHeight="1" x14ac:dyDescent="0.25">
      <c r="A258"/>
      <c r="B258" s="6"/>
    </row>
    <row r="259" spans="1:2" s="5" customFormat="1" ht="30" customHeight="1" x14ac:dyDescent="0.25">
      <c r="A259"/>
      <c r="B259" s="6"/>
    </row>
    <row r="260" spans="1:2" s="5" customFormat="1" ht="30" customHeight="1" x14ac:dyDescent="0.25">
      <c r="A260"/>
      <c r="B260" s="6"/>
    </row>
    <row r="261" spans="1:2" s="5" customFormat="1" ht="30" customHeight="1" x14ac:dyDescent="0.25">
      <c r="A261"/>
      <c r="B261" s="6"/>
    </row>
    <row r="262" spans="1:2" s="5" customFormat="1" ht="30" customHeight="1" x14ac:dyDescent="0.25">
      <c r="A262"/>
      <c r="B262" s="6"/>
    </row>
    <row r="263" spans="1:2" s="5" customFormat="1" ht="30" customHeight="1" x14ac:dyDescent="0.25">
      <c r="A263"/>
      <c r="B263" s="6"/>
    </row>
    <row r="264" spans="1:2" s="5" customFormat="1" ht="30" customHeight="1" x14ac:dyDescent="0.25">
      <c r="A264"/>
      <c r="B264" s="6"/>
    </row>
    <row r="265" spans="1:2" s="5" customFormat="1" ht="30" customHeight="1" x14ac:dyDescent="0.25">
      <c r="A265"/>
      <c r="B265" s="6"/>
    </row>
    <row r="266" spans="1:2" s="5" customFormat="1" ht="30" customHeight="1" x14ac:dyDescent="0.25">
      <c r="A266"/>
      <c r="B266" s="6"/>
    </row>
    <row r="267" spans="1:2" s="5" customFormat="1" ht="30" customHeight="1" x14ac:dyDescent="0.25">
      <c r="A267"/>
      <c r="B267" s="6"/>
    </row>
    <row r="268" spans="1:2" s="5" customFormat="1" ht="30" customHeight="1" x14ac:dyDescent="0.25">
      <c r="A268"/>
      <c r="B268" s="6"/>
    </row>
    <row r="269" spans="1:2" s="5" customFormat="1" ht="30" customHeight="1" x14ac:dyDescent="0.25">
      <c r="A269"/>
      <c r="B269" s="6"/>
    </row>
    <row r="270" spans="1:2" s="5" customFormat="1" ht="30" customHeight="1" x14ac:dyDescent="0.25">
      <c r="A270"/>
      <c r="B270" s="6"/>
    </row>
    <row r="271" spans="1:2" s="5" customFormat="1" ht="30" customHeight="1" x14ac:dyDescent="0.25">
      <c r="A271"/>
      <c r="B271" s="6"/>
    </row>
    <row r="272" spans="1:2" s="5" customFormat="1" ht="30" customHeight="1" x14ac:dyDescent="0.25">
      <c r="A272"/>
      <c r="B272" s="6"/>
    </row>
    <row r="273" spans="1:2" s="5" customFormat="1" ht="30" customHeight="1" x14ac:dyDescent="0.25">
      <c r="A273"/>
      <c r="B273" s="6"/>
    </row>
    <row r="274" spans="1:2" s="5" customFormat="1" ht="30" customHeight="1" x14ac:dyDescent="0.25">
      <c r="A274"/>
      <c r="B274" s="6"/>
    </row>
    <row r="275" spans="1:2" s="5" customFormat="1" ht="30" customHeight="1" x14ac:dyDescent="0.25">
      <c r="A275"/>
      <c r="B275" s="6"/>
    </row>
    <row r="276" spans="1:2" s="5" customFormat="1" ht="30" customHeight="1" x14ac:dyDescent="0.25">
      <c r="A276"/>
      <c r="B276" s="6"/>
    </row>
    <row r="277" spans="1:2" s="5" customFormat="1" ht="30" customHeight="1" x14ac:dyDescent="0.25">
      <c r="A277"/>
      <c r="B277" s="6"/>
    </row>
    <row r="278" spans="1:2" s="5" customFormat="1" ht="30" customHeight="1" x14ac:dyDescent="0.25">
      <c r="A278"/>
      <c r="B278" s="6"/>
    </row>
    <row r="279" spans="1:2" s="5" customFormat="1" ht="30" customHeight="1" x14ac:dyDescent="0.25">
      <c r="A279"/>
      <c r="B279" s="6"/>
    </row>
    <row r="280" spans="1:2" s="5" customFormat="1" ht="30" customHeight="1" x14ac:dyDescent="0.25">
      <c r="A280"/>
      <c r="B280" s="6"/>
    </row>
    <row r="281" spans="1:2" s="5" customFormat="1" ht="30" customHeight="1" x14ac:dyDescent="0.25">
      <c r="A281"/>
      <c r="B281" s="6"/>
    </row>
    <row r="282" spans="1:2" s="5" customFormat="1" ht="30" customHeight="1" x14ac:dyDescent="0.25">
      <c r="A282"/>
      <c r="B282" s="6"/>
    </row>
    <row r="283" spans="1:2" s="5" customFormat="1" ht="30" customHeight="1" x14ac:dyDescent="0.25">
      <c r="A283"/>
      <c r="B283" s="6"/>
    </row>
    <row r="284" spans="1:2" s="5" customFormat="1" ht="30" customHeight="1" x14ac:dyDescent="0.25">
      <c r="A284"/>
      <c r="B284" s="6"/>
    </row>
    <row r="285" spans="1:2" s="5" customFormat="1" ht="30" customHeight="1" x14ac:dyDescent="0.25">
      <c r="A285"/>
      <c r="B285" s="6"/>
    </row>
    <row r="286" spans="1:2" s="5" customFormat="1" ht="30" customHeight="1" x14ac:dyDescent="0.25">
      <c r="A286"/>
      <c r="B286" s="6"/>
    </row>
    <row r="287" spans="1:2" s="5" customFormat="1" ht="30" customHeight="1" x14ac:dyDescent="0.25">
      <c r="A287"/>
      <c r="B287" s="6"/>
    </row>
    <row r="288" spans="1:2" s="5" customFormat="1" ht="30" customHeight="1" x14ac:dyDescent="0.25">
      <c r="A288"/>
      <c r="B288" s="6"/>
    </row>
    <row r="289" spans="1:2" s="5" customFormat="1" ht="30" customHeight="1" x14ac:dyDescent="0.25">
      <c r="A289"/>
      <c r="B289" s="6"/>
    </row>
    <row r="290" spans="1:2" s="5" customFormat="1" ht="30" customHeight="1" x14ac:dyDescent="0.25">
      <c r="A290"/>
      <c r="B290" s="6"/>
    </row>
    <row r="291" spans="1:2" s="5" customFormat="1" ht="30" customHeight="1" x14ac:dyDescent="0.25">
      <c r="A291"/>
      <c r="B291" s="6"/>
    </row>
    <row r="292" spans="1:2" s="5" customFormat="1" ht="30" customHeight="1" x14ac:dyDescent="0.25">
      <c r="A292"/>
      <c r="B292" s="6"/>
    </row>
    <row r="293" spans="1:2" s="5" customFormat="1" ht="30" customHeight="1" x14ac:dyDescent="0.25">
      <c r="A293"/>
      <c r="B293" s="6"/>
    </row>
    <row r="294" spans="1:2" s="5" customFormat="1" ht="30" customHeight="1" x14ac:dyDescent="0.25">
      <c r="A294"/>
      <c r="B294" s="6"/>
    </row>
    <row r="295" spans="1:2" s="5" customFormat="1" ht="30" customHeight="1" x14ac:dyDescent="0.25">
      <c r="A295"/>
      <c r="B295" s="6"/>
    </row>
    <row r="296" spans="1:2" s="5" customFormat="1" ht="30" customHeight="1" x14ac:dyDescent="0.25">
      <c r="A296"/>
      <c r="B296" s="6"/>
    </row>
    <row r="297" spans="1:2" s="5" customFormat="1" ht="30" customHeight="1" x14ac:dyDescent="0.25">
      <c r="A297"/>
      <c r="B297" s="6"/>
    </row>
    <row r="298" spans="1:2" s="5" customFormat="1" ht="30" customHeight="1" x14ac:dyDescent="0.25">
      <c r="A298"/>
      <c r="B298" s="6"/>
    </row>
    <row r="299" spans="1:2" s="5" customFormat="1" ht="30" customHeight="1" x14ac:dyDescent="0.25">
      <c r="A299"/>
      <c r="B299" s="6"/>
    </row>
    <row r="300" spans="1:2" s="5" customFormat="1" ht="30" customHeight="1" x14ac:dyDescent="0.25">
      <c r="A300"/>
      <c r="B300" s="6"/>
    </row>
    <row r="301" spans="1:2" s="5" customFormat="1" ht="30" customHeight="1" x14ac:dyDescent="0.25">
      <c r="A301"/>
      <c r="B301" s="6"/>
    </row>
    <row r="302" spans="1:2" s="5" customFormat="1" ht="30" customHeight="1" x14ac:dyDescent="0.25">
      <c r="A302"/>
      <c r="B302" s="6"/>
    </row>
    <row r="303" spans="1:2" s="5" customFormat="1" ht="30" customHeight="1" x14ac:dyDescent="0.25">
      <c r="A303"/>
      <c r="B303" s="6"/>
    </row>
    <row r="304" spans="1:2" s="5" customFormat="1" ht="30" customHeight="1" x14ac:dyDescent="0.25">
      <c r="A304"/>
      <c r="B304" s="6"/>
    </row>
    <row r="305" spans="1:2" s="5" customFormat="1" ht="30" customHeight="1" x14ac:dyDescent="0.25">
      <c r="A305"/>
      <c r="B305" s="6"/>
    </row>
    <row r="306" spans="1:2" s="5" customFormat="1" ht="30" customHeight="1" x14ac:dyDescent="0.25">
      <c r="A306"/>
      <c r="B306" s="6"/>
    </row>
    <row r="307" spans="1:2" s="5" customFormat="1" ht="30" customHeight="1" x14ac:dyDescent="0.25">
      <c r="A307"/>
      <c r="B307" s="6"/>
    </row>
    <row r="308" spans="1:2" s="5" customFormat="1" ht="30" customHeight="1" x14ac:dyDescent="0.25">
      <c r="A308"/>
      <c r="B308" s="6"/>
    </row>
    <row r="309" spans="1:2" s="5" customFormat="1" ht="30" customHeight="1" x14ac:dyDescent="0.25">
      <c r="A309"/>
      <c r="B309" s="6"/>
    </row>
    <row r="310" spans="1:2" s="5" customFormat="1" ht="30" customHeight="1" x14ac:dyDescent="0.25">
      <c r="A310"/>
      <c r="B310" s="6"/>
    </row>
    <row r="311" spans="1:2" s="5" customFormat="1" ht="30" customHeight="1" x14ac:dyDescent="0.25">
      <c r="A311"/>
      <c r="B311" s="6"/>
    </row>
    <row r="312" spans="1:2" s="5" customFormat="1" ht="30" customHeight="1" x14ac:dyDescent="0.25">
      <c r="A312"/>
      <c r="B312" s="6"/>
    </row>
    <row r="313" spans="1:2" s="5" customFormat="1" ht="30" customHeight="1" x14ac:dyDescent="0.25">
      <c r="A313"/>
      <c r="B313" s="6"/>
    </row>
    <row r="314" spans="1:2" s="5" customFormat="1" ht="30" customHeight="1" x14ac:dyDescent="0.25">
      <c r="A314"/>
      <c r="B314" s="6"/>
    </row>
    <row r="315" spans="1:2" s="5" customFormat="1" ht="30" customHeight="1" x14ac:dyDescent="0.25">
      <c r="A315"/>
      <c r="B315" s="6"/>
    </row>
    <row r="316" spans="1:2" s="5" customFormat="1" ht="30" customHeight="1" x14ac:dyDescent="0.25">
      <c r="A316"/>
      <c r="B316" s="6"/>
    </row>
    <row r="317" spans="1:2" s="5" customFormat="1" ht="30" customHeight="1" x14ac:dyDescent="0.25">
      <c r="A317"/>
      <c r="B317" s="6"/>
    </row>
    <row r="318" spans="1:2" s="5" customFormat="1" ht="30" customHeight="1" x14ac:dyDescent="0.25">
      <c r="A318"/>
      <c r="B318" s="6"/>
    </row>
    <row r="319" spans="1:2" s="5" customFormat="1" ht="30" customHeight="1" x14ac:dyDescent="0.25">
      <c r="A319"/>
      <c r="B319" s="6"/>
    </row>
    <row r="320" spans="1:2" s="5" customFormat="1" ht="30" customHeight="1" x14ac:dyDescent="0.25">
      <c r="A320"/>
      <c r="B320" s="6"/>
    </row>
    <row r="321" spans="1:2" s="5" customFormat="1" ht="30" customHeight="1" x14ac:dyDescent="0.25">
      <c r="A321"/>
      <c r="B321" s="6"/>
    </row>
    <row r="322" spans="1:2" s="5" customFormat="1" ht="30" customHeight="1" x14ac:dyDescent="0.25">
      <c r="A322"/>
      <c r="B322" s="6"/>
    </row>
    <row r="323" spans="1:2" s="5" customFormat="1" ht="30" customHeight="1" x14ac:dyDescent="0.25">
      <c r="A323"/>
      <c r="B323" s="6"/>
    </row>
    <row r="324" spans="1:2" s="5" customFormat="1" ht="30" customHeight="1" x14ac:dyDescent="0.25">
      <c r="A324"/>
      <c r="B324" s="6"/>
    </row>
    <row r="325" spans="1:2" s="5" customFormat="1" ht="30" customHeight="1" x14ac:dyDescent="0.25">
      <c r="A325"/>
      <c r="B325" s="6"/>
    </row>
  </sheetData>
  <mergeCells count="12">
    <mergeCell ref="P9:P11"/>
    <mergeCell ref="F10:H10"/>
    <mergeCell ref="I10:K10"/>
    <mergeCell ref="I9:N9"/>
    <mergeCell ref="L10:N10"/>
    <mergeCell ref="N2:O2"/>
    <mergeCell ref="B9:B11"/>
    <mergeCell ref="C9:C11"/>
    <mergeCell ref="D9:D11"/>
    <mergeCell ref="E9:E11"/>
    <mergeCell ref="F9:H9"/>
    <mergeCell ref="O9:O11"/>
  </mergeCells>
  <phoneticPr fontId="18" type="noConversion"/>
  <conditionalFormatting sqref="D14:D15">
    <cfRule type="containsText" dxfId="47" priority="9" operator="containsText" text="U/R">
      <formula>NOT(ISERROR(SEARCH("U/R",D14)))</formula>
    </cfRule>
    <cfRule type="containsText" dxfId="46" priority="10" operator="containsText" text="C">
      <formula>NOT(ISERROR(SEARCH("C",D14)))</formula>
    </cfRule>
    <cfRule type="containsText" dxfId="45" priority="11" operator="containsText" text="B">
      <formula>NOT(ISERROR(SEARCH("B",D14)))</formula>
    </cfRule>
    <cfRule type="containsText" dxfId="44" priority="12" operator="containsText" text="A">
      <formula>NOT(ISERROR(SEARCH("A",D14)))</formula>
    </cfRule>
  </conditionalFormatting>
  <conditionalFormatting sqref="D17:D19">
    <cfRule type="containsText" dxfId="43" priority="45" operator="containsText" text="U/R">
      <formula>NOT(ISERROR(SEARCH("U/R",D17)))</formula>
    </cfRule>
    <cfRule type="containsText" dxfId="42" priority="46" operator="containsText" text="C">
      <formula>NOT(ISERROR(SEARCH("C",D17)))</formula>
    </cfRule>
    <cfRule type="containsText" dxfId="41" priority="47" operator="containsText" text="B">
      <formula>NOT(ISERROR(SEARCH("B",D17)))</formula>
    </cfRule>
    <cfRule type="containsText" dxfId="40" priority="48" operator="containsText" text="A">
      <formula>NOT(ISERROR(SEARCH("A",D17)))</formula>
    </cfRule>
  </conditionalFormatting>
  <conditionalFormatting sqref="H14:H15">
    <cfRule type="containsText" dxfId="39" priority="61" operator="containsText" text="U/R">
      <formula>NOT(ISERROR(SEARCH("U/R",H14)))</formula>
    </cfRule>
    <cfRule type="containsText" dxfId="38" priority="62" operator="containsText" text="C">
      <formula>NOT(ISERROR(SEARCH("C",H14)))</formula>
    </cfRule>
    <cfRule type="containsText" dxfId="37" priority="63" operator="containsText" text="B">
      <formula>NOT(ISERROR(SEARCH("B",H14)))</formula>
    </cfRule>
    <cfRule type="containsText" dxfId="36" priority="64" operator="containsText" text="A">
      <formula>NOT(ISERROR(SEARCH("A",H14)))</formula>
    </cfRule>
  </conditionalFormatting>
  <conditionalFormatting sqref="K14">
    <cfRule type="containsText" dxfId="35" priority="13" operator="containsText" text="U/R">
      <formula>NOT(ISERROR(SEARCH("U/R",K14)))</formula>
    </cfRule>
    <cfRule type="containsText" dxfId="34" priority="14" operator="containsText" text="C">
      <formula>NOT(ISERROR(SEARCH("C",K14)))</formula>
    </cfRule>
    <cfRule type="containsText" dxfId="33" priority="15" operator="containsText" text="B">
      <formula>NOT(ISERROR(SEARCH("B",K14)))</formula>
    </cfRule>
    <cfRule type="containsText" dxfId="32" priority="16" operator="containsText" text="A">
      <formula>NOT(ISERROR(SEARCH("A",K14)))</formula>
    </cfRule>
  </conditionalFormatting>
  <conditionalFormatting sqref="K17">
    <cfRule type="containsText" dxfId="31" priority="57" operator="containsText" text="U/R">
      <formula>NOT(ISERROR(SEARCH("U/R",K17)))</formula>
    </cfRule>
    <cfRule type="containsText" dxfId="30" priority="58" operator="containsText" text="C">
      <formula>NOT(ISERROR(SEARCH("C",K17)))</formula>
    </cfRule>
    <cfRule type="containsText" dxfId="29" priority="59" operator="containsText" text="B">
      <formula>NOT(ISERROR(SEARCH("B",K17)))</formula>
    </cfRule>
    <cfRule type="containsText" dxfId="28" priority="60" operator="containsText" text="A">
      <formula>NOT(ISERROR(SEARCH("A",K17)))</formula>
    </cfRule>
  </conditionalFormatting>
  <conditionalFormatting sqref="K19:K40">
    <cfRule type="containsText" dxfId="27" priority="17" operator="containsText" text="U/R">
      <formula>NOT(ISERROR(SEARCH("U/R",K19)))</formula>
    </cfRule>
    <cfRule type="containsText" dxfId="26" priority="18" operator="containsText" text="C">
      <formula>NOT(ISERROR(SEARCH("C",K19)))</formula>
    </cfRule>
    <cfRule type="containsText" dxfId="25" priority="19" operator="containsText" text="B">
      <formula>NOT(ISERROR(SEARCH("B",K19)))</formula>
    </cfRule>
    <cfRule type="containsText" dxfId="24" priority="20" operator="containsText" text="A">
      <formula>NOT(ISERROR(SEARCH("A",K19)))</formula>
    </cfRule>
  </conditionalFormatting>
  <conditionalFormatting sqref="N14:N15">
    <cfRule type="containsText" dxfId="23" priority="65" operator="containsText" text="U/R">
      <formula>NOT(ISERROR(SEARCH("U/R",N14)))</formula>
    </cfRule>
    <cfRule type="containsText" dxfId="22" priority="66" operator="containsText" text="C">
      <formula>NOT(ISERROR(SEARCH("C",N14)))</formula>
    </cfRule>
    <cfRule type="containsText" dxfId="21" priority="67" operator="containsText" text="B">
      <formula>NOT(ISERROR(SEARCH("B",N14)))</formula>
    </cfRule>
    <cfRule type="containsText" dxfId="20" priority="68" operator="containsText" text="A">
      <formula>NOT(ISERROR(SEARCH("A",N14)))</formula>
    </cfRule>
  </conditionalFormatting>
  <conditionalFormatting sqref="N17:N20 H17:H40">
    <cfRule type="containsText" dxfId="19" priority="21" operator="containsText" text="U/R">
      <formula>NOT(ISERROR(SEARCH("U/R",H17)))</formula>
    </cfRule>
    <cfRule type="containsText" dxfId="18" priority="22" operator="containsText" text="C">
      <formula>NOT(ISERROR(SEARCH("C",H17)))</formula>
    </cfRule>
    <cfRule type="containsText" dxfId="17" priority="23" operator="containsText" text="B">
      <formula>NOT(ISERROR(SEARCH("B",H17)))</formula>
    </cfRule>
    <cfRule type="containsText" dxfId="16" priority="24" operator="containsText" text="A">
      <formula>NOT(ISERROR(SEARCH("A",H17)))</formula>
    </cfRule>
  </conditionalFormatting>
  <dataValidations count="1">
    <dataValidation type="list" allowBlank="1" showInputMessage="1" showErrorMessage="1" sqref="D12:D1048576" xr:uid="{8F967C55-532F-4E32-A6B0-5C6C9171D662}">
      <formula1>"A, B, C, U/R, Infor."</formula1>
    </dataValidation>
  </dataValidations>
  <pageMargins left="0.7" right="0.7" top="0.75" bottom="0.75" header="0.3" footer="0.3"/>
  <pageSetup paperSize="8" scale="68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1CDB-1B65-4EBB-98F5-C89C11B73A1D}">
  <sheetPr codeName="Sheet4">
    <pageSetUpPr fitToPage="1"/>
  </sheetPr>
  <dimension ref="A1:M323"/>
  <sheetViews>
    <sheetView view="pageBreakPreview" zoomScale="85" zoomScaleNormal="100" zoomScaleSheetLayoutView="85" workbookViewId="0">
      <pane xSplit="4" ySplit="10" topLeftCell="E11" activePane="bottomRight" state="frozen"/>
      <selection pane="topRight" activeCell="F1" sqref="F1"/>
      <selection pane="bottomLeft" activeCell="A10" sqref="A10"/>
      <selection pane="bottomRight" activeCell="C28" sqref="C28"/>
    </sheetView>
  </sheetViews>
  <sheetFormatPr defaultRowHeight="30" customHeight="1" x14ac:dyDescent="0.25"/>
  <cols>
    <col min="1" max="1" width="1.85546875" customWidth="1"/>
    <col min="2" max="2" width="13.5703125" style="5" customWidth="1"/>
    <col min="3" max="3" width="83.85546875" style="5" customWidth="1"/>
    <col min="4" max="4" width="12.7109375" style="5" customWidth="1"/>
    <col min="5" max="5" width="12" style="5" customWidth="1"/>
    <col min="6" max="7" width="12.7109375" style="5" customWidth="1"/>
    <col min="8" max="8" width="10.7109375" style="5" customWidth="1"/>
    <col min="9" max="10" width="12.7109375" style="5" customWidth="1"/>
    <col min="11" max="11" width="10.7109375" style="5" customWidth="1"/>
    <col min="12" max="13" width="24.7109375" style="5" customWidth="1"/>
  </cols>
  <sheetData>
    <row r="1" spans="1:13" ht="77.25" customHeight="1" x14ac:dyDescent="0.25">
      <c r="A1" s="89"/>
      <c r="B1" s="108"/>
      <c r="C1" s="77"/>
      <c r="D1" s="77"/>
      <c r="E1" s="75"/>
      <c r="F1" s="75"/>
      <c r="G1" s="75"/>
      <c r="H1" s="75"/>
      <c r="I1" s="75"/>
      <c r="J1" s="75"/>
      <c r="K1" s="75"/>
      <c r="L1" s="110"/>
      <c r="M1" s="79"/>
    </row>
    <row r="2" spans="1:13" ht="21.95" customHeight="1" x14ac:dyDescent="0.25">
      <c r="A2" s="89"/>
      <c r="B2" s="82" t="s">
        <v>197</v>
      </c>
      <c r="C2" s="83" t="s">
        <v>198</v>
      </c>
      <c r="D2" s="74"/>
      <c r="E2" s="77"/>
      <c r="F2" s="109"/>
      <c r="G2" s="75"/>
      <c r="H2" s="74"/>
      <c r="I2" s="75"/>
      <c r="J2" s="75"/>
      <c r="K2" s="263"/>
      <c r="L2" s="263"/>
      <c r="M2" s="80"/>
    </row>
    <row r="3" spans="1:13" ht="21.95" customHeight="1" x14ac:dyDescent="0.25">
      <c r="A3" s="89"/>
      <c r="B3" s="82" t="s">
        <v>192</v>
      </c>
      <c r="C3" s="82" t="s">
        <v>232</v>
      </c>
      <c r="D3" s="74"/>
      <c r="E3" s="75"/>
      <c r="F3" s="75"/>
      <c r="G3" s="75"/>
      <c r="H3" s="78"/>
      <c r="I3" s="75"/>
      <c r="J3" s="75"/>
      <c r="K3" s="84" t="e">
        <f>COUNTIF($D$11:$D$1048576,"A")/$K$7</f>
        <v>#DIV/0!</v>
      </c>
      <c r="L3" s="7" t="s">
        <v>8</v>
      </c>
      <c r="M3" s="87" t="s">
        <v>12</v>
      </c>
    </row>
    <row r="4" spans="1:13" ht="21.95" customHeight="1" x14ac:dyDescent="0.25">
      <c r="A4" s="89"/>
      <c r="B4" s="82" t="s">
        <v>193</v>
      </c>
      <c r="C4" s="91" t="s">
        <v>199</v>
      </c>
      <c r="D4" s="79"/>
      <c r="E4" s="77"/>
      <c r="F4" s="75"/>
      <c r="G4" s="75"/>
      <c r="H4" s="78"/>
      <c r="I4" s="75"/>
      <c r="J4" s="75"/>
      <c r="K4" s="84" t="e">
        <f>COUNTIF($D$11:$D$1048576,"B")/$K$7</f>
        <v>#DIV/0!</v>
      </c>
      <c r="L4" s="48" t="s">
        <v>9</v>
      </c>
      <c r="M4" s="87" t="s">
        <v>13</v>
      </c>
    </row>
    <row r="5" spans="1:13" ht="21.95" customHeight="1" x14ac:dyDescent="0.25">
      <c r="A5" s="89"/>
      <c r="B5" s="82" t="s">
        <v>196</v>
      </c>
      <c r="C5" s="91" t="s">
        <v>200</v>
      </c>
      <c r="D5" s="74"/>
      <c r="E5" s="75"/>
      <c r="F5" s="75"/>
      <c r="G5" s="75"/>
      <c r="H5" s="78"/>
      <c r="I5" s="75"/>
      <c r="J5" s="75"/>
      <c r="K5" s="85" t="e">
        <f>COUNTIF($D$11:$D$1048576,"C")/$K$7</f>
        <v>#DIV/0!</v>
      </c>
      <c r="L5" s="35" t="s">
        <v>10</v>
      </c>
      <c r="M5" s="87" t="s">
        <v>23</v>
      </c>
    </row>
    <row r="6" spans="1:13" ht="21.95" customHeight="1" x14ac:dyDescent="0.25">
      <c r="A6" s="89"/>
      <c r="B6" s="91" t="s">
        <v>195</v>
      </c>
      <c r="C6" s="82" t="s">
        <v>240</v>
      </c>
      <c r="D6" s="74"/>
      <c r="E6" s="75"/>
      <c r="F6" s="75"/>
      <c r="G6" s="75"/>
      <c r="H6" s="78"/>
      <c r="I6" s="75"/>
      <c r="J6" s="75"/>
      <c r="K6" s="85" t="e">
        <f>COUNTIF($D$11:$D$1048576,"U/R")/$K$7</f>
        <v>#DIV/0!</v>
      </c>
      <c r="L6" s="52" t="s">
        <v>11</v>
      </c>
      <c r="M6" s="87" t="s">
        <v>112</v>
      </c>
    </row>
    <row r="7" spans="1:13" ht="21.95" customHeight="1" x14ac:dyDescent="0.25">
      <c r="A7" s="89"/>
      <c r="B7" s="91" t="s">
        <v>194</v>
      </c>
      <c r="C7" s="94">
        <f ca="1">TODAY()</f>
        <v>45708</v>
      </c>
      <c r="D7" s="74"/>
      <c r="E7" s="75"/>
      <c r="F7" s="75"/>
      <c r="G7" s="75"/>
      <c r="H7" s="81"/>
      <c r="I7" s="75"/>
      <c r="J7" s="75"/>
      <c r="K7" s="86">
        <f>COUNT($B$11:$B$1048576)</f>
        <v>0</v>
      </c>
      <c r="L7" s="88" t="s">
        <v>141</v>
      </c>
      <c r="M7" s="87" t="s">
        <v>142</v>
      </c>
    </row>
    <row r="8" spans="1:13" ht="15.75" thickBot="1" x14ac:dyDescent="0.3">
      <c r="A8" s="89"/>
      <c r="B8" s="75"/>
      <c r="C8" s="75"/>
      <c r="D8" s="75"/>
      <c r="E8" s="75"/>
      <c r="F8" s="75"/>
      <c r="G8" s="75"/>
      <c r="H8" s="81"/>
      <c r="I8" s="75"/>
      <c r="J8" s="75"/>
      <c r="K8" s="53"/>
      <c r="L8" s="6"/>
      <c r="M8" s="34"/>
    </row>
    <row r="9" spans="1:13" s="36" customFormat="1" ht="20.100000000000001" customHeight="1" x14ac:dyDescent="0.25">
      <c r="B9" s="272" t="s">
        <v>2</v>
      </c>
      <c r="C9" s="275" t="s">
        <v>228</v>
      </c>
      <c r="D9" s="294" t="s">
        <v>95</v>
      </c>
      <c r="E9" s="257" t="s">
        <v>4</v>
      </c>
      <c r="F9" s="246" t="s">
        <v>34</v>
      </c>
      <c r="G9" s="247"/>
      <c r="H9" s="247"/>
      <c r="I9" s="246" t="s">
        <v>35</v>
      </c>
      <c r="J9" s="247"/>
      <c r="K9" s="247"/>
      <c r="L9" s="259" t="s">
        <v>6</v>
      </c>
      <c r="M9" s="249" t="s">
        <v>7</v>
      </c>
    </row>
    <row r="10" spans="1:13" ht="41.25" customHeight="1" thickBot="1" x14ac:dyDescent="0.3">
      <c r="B10" s="274"/>
      <c r="C10" s="277"/>
      <c r="D10" s="295"/>
      <c r="E10" s="258"/>
      <c r="F10" s="51" t="s">
        <v>234</v>
      </c>
      <c r="G10" s="46" t="s">
        <v>17</v>
      </c>
      <c r="H10" s="65" t="s">
        <v>5</v>
      </c>
      <c r="I10" s="51" t="s">
        <v>234</v>
      </c>
      <c r="J10" s="46" t="s">
        <v>17</v>
      </c>
      <c r="K10" s="40" t="s">
        <v>5</v>
      </c>
      <c r="L10" s="260"/>
      <c r="M10" s="250"/>
    </row>
    <row r="11" spans="1:13" ht="20.100000000000001" customHeight="1" x14ac:dyDescent="0.25">
      <c r="B11" s="118" t="s">
        <v>8</v>
      </c>
      <c r="C11" s="96" t="s">
        <v>233</v>
      </c>
      <c r="D11" s="13"/>
      <c r="E11" s="13"/>
      <c r="F11" s="13"/>
      <c r="G11" s="13"/>
      <c r="H11" s="12"/>
      <c r="I11" s="13"/>
      <c r="J11" s="13"/>
      <c r="K11" s="12"/>
      <c r="L11" s="13"/>
      <c r="M11" s="14"/>
    </row>
    <row r="12" spans="1:13" ht="20.100000000000001" customHeight="1" x14ac:dyDescent="0.25">
      <c r="B12" s="114"/>
      <c r="C12" s="100"/>
      <c r="D12" s="115"/>
      <c r="E12" s="115"/>
      <c r="F12" s="115"/>
      <c r="G12" s="115"/>
      <c r="H12" s="116"/>
      <c r="I12" s="115"/>
      <c r="J12" s="115"/>
      <c r="K12" s="116"/>
      <c r="L12" s="115"/>
      <c r="M12" s="117"/>
    </row>
    <row r="13" spans="1:13" ht="20.100000000000001" customHeight="1" x14ac:dyDescent="0.25">
      <c r="A13" s="8"/>
      <c r="B13" s="15"/>
      <c r="C13" s="33"/>
      <c r="D13" s="23"/>
      <c r="E13" s="23"/>
      <c r="F13" s="26"/>
      <c r="G13" s="26"/>
      <c r="H13" s="23"/>
      <c r="I13" s="23"/>
      <c r="J13" s="23"/>
      <c r="K13" s="23"/>
      <c r="L13" s="21"/>
      <c r="M13" s="43"/>
    </row>
    <row r="14" spans="1:13" ht="20.100000000000001" customHeight="1" x14ac:dyDescent="0.25">
      <c r="B14" s="119"/>
      <c r="C14" s="101"/>
      <c r="D14" s="59"/>
      <c r="E14" s="59"/>
      <c r="F14" s="60"/>
      <c r="G14" s="60"/>
      <c r="H14" s="59"/>
      <c r="I14" s="59"/>
      <c r="J14" s="59"/>
      <c r="K14" s="59"/>
      <c r="L14" s="61"/>
      <c r="M14" s="102"/>
    </row>
    <row r="15" spans="1:13" ht="20.100000000000001" customHeight="1" x14ac:dyDescent="0.25">
      <c r="A15" s="8"/>
      <c r="B15" s="15"/>
      <c r="C15" s="33"/>
      <c r="D15" s="23"/>
      <c r="E15" s="23"/>
      <c r="F15" s="26"/>
      <c r="G15" s="26"/>
      <c r="H15" s="23"/>
      <c r="I15" s="23"/>
      <c r="J15" s="23"/>
      <c r="K15" s="23"/>
      <c r="L15" s="21"/>
      <c r="M15" s="43"/>
    </row>
    <row r="16" spans="1:13" ht="20.100000000000001" customHeight="1" x14ac:dyDescent="0.25">
      <c r="A16" s="8"/>
      <c r="B16" s="15"/>
      <c r="C16" s="33"/>
      <c r="D16" s="23"/>
      <c r="E16" s="23"/>
      <c r="F16" s="26"/>
      <c r="G16" s="26"/>
      <c r="H16" s="23"/>
      <c r="I16" s="23"/>
      <c r="J16" s="23"/>
      <c r="K16" s="23"/>
      <c r="L16" s="21"/>
      <c r="M16" s="43"/>
    </row>
    <row r="17" spans="1:13" ht="20.100000000000001" customHeight="1" x14ac:dyDescent="0.25">
      <c r="A17" s="8"/>
      <c r="B17" s="15"/>
      <c r="C17" s="33"/>
      <c r="D17" s="23"/>
      <c r="E17" s="23"/>
      <c r="F17" s="26"/>
      <c r="G17" s="26"/>
      <c r="H17" s="23"/>
      <c r="I17" s="26"/>
      <c r="J17" s="26"/>
      <c r="K17" s="23"/>
      <c r="L17" s="21"/>
      <c r="M17" s="43"/>
    </row>
    <row r="18" spans="1:13" ht="20.100000000000001" customHeight="1" x14ac:dyDescent="0.25">
      <c r="A18" s="8"/>
      <c r="B18" s="15"/>
      <c r="C18" s="25"/>
      <c r="D18" s="23"/>
      <c r="E18" s="23"/>
      <c r="F18" s="26"/>
      <c r="G18" s="26"/>
      <c r="H18" s="23"/>
      <c r="I18" s="23"/>
      <c r="J18" s="23"/>
      <c r="K18" s="23"/>
      <c r="L18" s="21"/>
      <c r="M18" s="43"/>
    </row>
    <row r="19" spans="1:13" ht="20.100000000000001" customHeight="1" thickBot="1" x14ac:dyDescent="0.3">
      <c r="B19" s="16"/>
      <c r="C19" s="17"/>
      <c r="D19" s="18"/>
      <c r="E19" s="18"/>
      <c r="F19" s="18"/>
      <c r="G19" s="18"/>
      <c r="H19" s="18"/>
      <c r="I19" s="18"/>
      <c r="J19" s="18"/>
      <c r="K19" s="18"/>
      <c r="L19" s="19"/>
      <c r="M19" s="20"/>
    </row>
    <row r="20" spans="1:13" ht="30" customHeight="1" x14ac:dyDescent="0.25">
      <c r="B20" s="9"/>
      <c r="C20" s="10"/>
      <c r="D20" s="4"/>
      <c r="E20" s="4"/>
      <c r="F20" s="4"/>
      <c r="G20" s="4"/>
      <c r="H20" s="4"/>
      <c r="I20" s="4"/>
      <c r="J20" s="4"/>
      <c r="K20" s="4"/>
      <c r="L20" s="1"/>
      <c r="M20" s="1"/>
    </row>
    <row r="21" spans="1:13" ht="30" customHeight="1" x14ac:dyDescent="0.25">
      <c r="B21" s="11"/>
      <c r="C21" s="2"/>
      <c r="D21" s="4"/>
      <c r="E21" s="4"/>
      <c r="F21" s="4"/>
      <c r="G21" s="4"/>
      <c r="H21" s="4"/>
      <c r="I21" s="4"/>
      <c r="J21" s="4"/>
      <c r="K21" s="4"/>
      <c r="L21" s="1"/>
      <c r="M21" s="1"/>
    </row>
    <row r="22" spans="1:13" ht="30" customHeight="1" x14ac:dyDescent="0.25">
      <c r="B22" s="9"/>
      <c r="C22" s="10"/>
      <c r="D22" s="4"/>
      <c r="E22" s="4"/>
      <c r="F22" s="4"/>
      <c r="G22" s="4"/>
      <c r="H22" s="4"/>
      <c r="I22" s="4"/>
      <c r="J22" s="4"/>
      <c r="K22" s="4"/>
      <c r="L22" s="1"/>
      <c r="M22" s="1"/>
    </row>
    <row r="23" spans="1:13" ht="30" customHeight="1" x14ac:dyDescent="0.25">
      <c r="B23" s="9"/>
      <c r="C23" s="10"/>
      <c r="D23" s="4"/>
      <c r="E23" s="4"/>
      <c r="F23" s="4"/>
      <c r="G23" s="4"/>
      <c r="H23" s="4"/>
      <c r="I23" s="4"/>
      <c r="J23" s="4"/>
      <c r="K23" s="4"/>
      <c r="L23" s="1"/>
      <c r="M23" s="1"/>
    </row>
    <row r="24" spans="1:13" ht="30" customHeight="1" x14ac:dyDescent="0.25">
      <c r="B24" s="9"/>
      <c r="C24" s="10"/>
      <c r="D24" s="4"/>
      <c r="E24" s="4"/>
      <c r="F24" s="4"/>
      <c r="G24" s="4"/>
      <c r="H24" s="4"/>
      <c r="I24" s="4"/>
      <c r="J24" s="4"/>
      <c r="K24" s="4"/>
      <c r="L24" s="1"/>
      <c r="M24" s="1"/>
    </row>
    <row r="25" spans="1:13" ht="30" customHeight="1" x14ac:dyDescent="0.25">
      <c r="B25" s="11"/>
      <c r="C25" s="2"/>
      <c r="D25" s="4"/>
      <c r="E25" s="4"/>
      <c r="F25" s="4"/>
      <c r="G25" s="4"/>
      <c r="H25" s="4"/>
      <c r="I25" s="4"/>
      <c r="J25" s="4"/>
      <c r="K25" s="4"/>
      <c r="L25" s="1"/>
      <c r="M25" s="1"/>
    </row>
    <row r="26" spans="1:13" ht="30" customHeight="1" x14ac:dyDescent="0.25">
      <c r="B26" s="9"/>
      <c r="C26" s="10"/>
      <c r="D26" s="4"/>
      <c r="E26" s="4"/>
      <c r="F26" s="4"/>
      <c r="G26" s="4"/>
      <c r="H26" s="4"/>
      <c r="I26" s="4"/>
      <c r="J26" s="4"/>
      <c r="K26" s="4"/>
      <c r="L26" s="1"/>
      <c r="M26" s="1"/>
    </row>
    <row r="27" spans="1:13" ht="30" customHeight="1" x14ac:dyDescent="0.25">
      <c r="B27" s="9"/>
      <c r="C27" s="10"/>
      <c r="D27" s="4"/>
      <c r="E27" s="4"/>
      <c r="F27" s="4"/>
      <c r="G27" s="4"/>
      <c r="H27" s="4"/>
      <c r="I27" s="4"/>
      <c r="J27" s="4"/>
      <c r="K27" s="4"/>
      <c r="L27" s="1"/>
      <c r="M27" s="1"/>
    </row>
    <row r="28" spans="1:13" ht="30" customHeight="1" x14ac:dyDescent="0.25">
      <c r="B28" s="9"/>
      <c r="C28" s="10"/>
      <c r="D28" s="4"/>
      <c r="E28" s="4"/>
      <c r="F28" s="4"/>
      <c r="G28" s="4"/>
      <c r="H28" s="4"/>
      <c r="I28" s="4"/>
      <c r="J28" s="4"/>
      <c r="K28" s="4"/>
      <c r="L28" s="1"/>
      <c r="M28" s="1"/>
    </row>
    <row r="29" spans="1:13" ht="30" customHeight="1" x14ac:dyDescent="0.25">
      <c r="B29" s="11"/>
      <c r="C29" s="2"/>
      <c r="D29" s="4"/>
      <c r="E29" s="4"/>
      <c r="F29" s="4"/>
      <c r="G29" s="4"/>
      <c r="H29" s="4"/>
      <c r="I29" s="4"/>
      <c r="J29" s="4"/>
      <c r="K29" s="4"/>
      <c r="L29" s="1"/>
      <c r="M29" s="1"/>
    </row>
    <row r="30" spans="1:13" ht="30" customHeight="1" x14ac:dyDescent="0.25">
      <c r="B30" s="9"/>
      <c r="C30" s="10"/>
      <c r="D30" s="4"/>
      <c r="E30" s="4"/>
      <c r="F30" s="4"/>
      <c r="G30" s="4"/>
      <c r="H30" s="4"/>
      <c r="I30" s="4"/>
      <c r="J30" s="4"/>
      <c r="K30" s="4"/>
      <c r="L30" s="1"/>
      <c r="M30" s="1"/>
    </row>
    <row r="31" spans="1:13" ht="30" customHeight="1" x14ac:dyDescent="0.25">
      <c r="B31" s="9"/>
      <c r="C31" s="10"/>
      <c r="D31" s="4"/>
      <c r="E31" s="4"/>
      <c r="F31" s="4"/>
      <c r="G31" s="4"/>
      <c r="H31" s="4"/>
      <c r="I31" s="4"/>
      <c r="J31" s="4"/>
      <c r="K31" s="4"/>
      <c r="L31" s="1"/>
      <c r="M31" s="1"/>
    </row>
    <row r="32" spans="1:13" ht="30" customHeight="1" x14ac:dyDescent="0.25">
      <c r="B32" s="9"/>
      <c r="C32" s="10"/>
      <c r="D32" s="4"/>
      <c r="E32" s="4"/>
      <c r="F32" s="4"/>
      <c r="G32" s="4"/>
      <c r="H32" s="4"/>
      <c r="I32" s="4"/>
      <c r="J32" s="4"/>
      <c r="K32" s="4"/>
      <c r="L32" s="1"/>
      <c r="M32" s="1"/>
    </row>
    <row r="33" spans="2:13" ht="30" customHeight="1" x14ac:dyDescent="0.25">
      <c r="B33" s="11"/>
      <c r="C33" s="2"/>
      <c r="D33" s="4"/>
      <c r="E33" s="4"/>
      <c r="F33" s="4"/>
      <c r="G33" s="4"/>
      <c r="H33" s="4"/>
      <c r="I33" s="4"/>
      <c r="J33" s="4"/>
      <c r="K33" s="4"/>
      <c r="L33" s="1"/>
      <c r="M33" s="1"/>
    </row>
    <row r="34" spans="2:13" ht="30" customHeight="1" x14ac:dyDescent="0.25">
      <c r="B34" s="9"/>
      <c r="C34" s="10"/>
      <c r="D34" s="4"/>
      <c r="E34" s="4"/>
      <c r="F34" s="4"/>
      <c r="G34" s="4"/>
      <c r="H34" s="4"/>
      <c r="I34" s="4"/>
      <c r="J34" s="4"/>
      <c r="K34" s="4"/>
      <c r="L34" s="1"/>
      <c r="M34" s="1"/>
    </row>
    <row r="35" spans="2:13" ht="30" customHeight="1" x14ac:dyDescent="0.25">
      <c r="B35" s="9"/>
      <c r="C35" s="10"/>
      <c r="D35" s="4"/>
      <c r="E35" s="4"/>
      <c r="F35" s="4"/>
      <c r="G35" s="4"/>
      <c r="H35" s="4"/>
      <c r="I35" s="4"/>
      <c r="J35" s="4"/>
      <c r="K35" s="4"/>
      <c r="L35" s="1"/>
      <c r="M35" s="1"/>
    </row>
    <row r="36" spans="2:13" ht="30" customHeight="1" x14ac:dyDescent="0.25">
      <c r="B36" s="9"/>
      <c r="C36" s="10"/>
      <c r="D36" s="4"/>
      <c r="E36" s="4"/>
      <c r="F36" s="4"/>
      <c r="G36" s="4"/>
      <c r="H36" s="4"/>
      <c r="I36" s="4"/>
      <c r="J36" s="4"/>
      <c r="K36" s="4"/>
      <c r="L36" s="1"/>
      <c r="M36" s="1"/>
    </row>
    <row r="37" spans="2:13" ht="30" customHeight="1" x14ac:dyDescent="0.25">
      <c r="B37" s="11"/>
      <c r="C37" s="2"/>
      <c r="D37" s="4"/>
      <c r="E37" s="4"/>
      <c r="F37" s="4"/>
      <c r="G37" s="4"/>
      <c r="H37" s="4"/>
      <c r="I37" s="4"/>
      <c r="J37" s="4"/>
      <c r="K37" s="4"/>
      <c r="L37" s="1"/>
      <c r="M37" s="1"/>
    </row>
    <row r="38" spans="2:13" ht="30" customHeight="1" x14ac:dyDescent="0.25">
      <c r="B38" s="9" t="str">
        <f>IF(C38="","",MAX($B$9:B37)+1)</f>
        <v/>
      </c>
      <c r="C38" s="1"/>
      <c r="D38" s="4"/>
      <c r="E38" s="4"/>
      <c r="F38" s="4"/>
      <c r="G38" s="4"/>
      <c r="H38" s="4"/>
      <c r="I38" s="4"/>
      <c r="J38" s="4"/>
      <c r="K38" s="4"/>
      <c r="L38" s="1"/>
      <c r="M38" s="1"/>
    </row>
    <row r="39" spans="2:13" ht="30" customHeight="1" x14ac:dyDescent="0.25"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ht="30" customHeight="1" x14ac:dyDescent="0.25"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ht="30" customHeight="1" x14ac:dyDescent="0.25"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ht="30" customHeight="1" x14ac:dyDescent="0.25">
      <c r="B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ht="30" customHeight="1" x14ac:dyDescent="0.25"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ht="30" customHeight="1" x14ac:dyDescent="0.25"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ht="30" customHeight="1" x14ac:dyDescent="0.25"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ht="30" customHeight="1" x14ac:dyDescent="0.25"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ht="30" customHeight="1" x14ac:dyDescent="0.25"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ht="30" customHeight="1" x14ac:dyDescent="0.25"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ht="30" customHeight="1" x14ac:dyDescent="0.25">
      <c r="B49" s="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ht="30" customHeight="1" x14ac:dyDescent="0.25"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ht="30" customHeight="1" x14ac:dyDescent="0.25">
      <c r="B51" s="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ht="30" customHeight="1" x14ac:dyDescent="0.25">
      <c r="B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ht="30" customHeight="1" x14ac:dyDescent="0.25">
      <c r="B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ht="30" customHeight="1" x14ac:dyDescent="0.25"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ht="30" customHeight="1" x14ac:dyDescent="0.25"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 ht="30" customHeight="1" x14ac:dyDescent="0.25">
      <c r="B56" s="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ht="30" customHeight="1" x14ac:dyDescent="0.25"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 ht="30" customHeight="1" x14ac:dyDescent="0.25"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 ht="30" customHeight="1" x14ac:dyDescent="0.25"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 ht="30" customHeight="1" x14ac:dyDescent="0.25"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ht="30" customHeight="1" x14ac:dyDescent="0.25">
      <c r="B61" s="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ht="30" customHeight="1" x14ac:dyDescent="0.25"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ht="30" customHeight="1" x14ac:dyDescent="0.25"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 ht="30" customHeight="1" x14ac:dyDescent="0.25">
      <c r="B64" s="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30" customHeight="1" x14ac:dyDescent="0.25"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30" customHeight="1" x14ac:dyDescent="0.25">
      <c r="B66" s="6"/>
    </row>
    <row r="67" spans="1:13" ht="30" customHeight="1" x14ac:dyDescent="0.25">
      <c r="B67" s="6"/>
    </row>
    <row r="68" spans="1:13" ht="30" customHeight="1" x14ac:dyDescent="0.25">
      <c r="B68" s="6"/>
    </row>
    <row r="69" spans="1:13" s="5" customFormat="1" ht="30" customHeight="1" x14ac:dyDescent="0.25">
      <c r="A69"/>
      <c r="B69" s="6"/>
    </row>
    <row r="70" spans="1:13" s="5" customFormat="1" ht="30" customHeight="1" x14ac:dyDescent="0.25">
      <c r="A70"/>
      <c r="B70" s="6"/>
    </row>
    <row r="71" spans="1:13" s="5" customFormat="1" ht="30" customHeight="1" x14ac:dyDescent="0.25">
      <c r="A71"/>
      <c r="B71" s="6"/>
    </row>
    <row r="72" spans="1:13" s="5" customFormat="1" ht="30" customHeight="1" x14ac:dyDescent="0.25">
      <c r="A72"/>
      <c r="B72" s="6"/>
    </row>
    <row r="73" spans="1:13" s="5" customFormat="1" ht="30" customHeight="1" x14ac:dyDescent="0.25">
      <c r="A73"/>
      <c r="B73" s="6"/>
    </row>
    <row r="74" spans="1:13" s="5" customFormat="1" ht="30" customHeight="1" x14ac:dyDescent="0.25">
      <c r="A74"/>
      <c r="B74" s="6"/>
    </row>
    <row r="75" spans="1:13" s="5" customFormat="1" ht="30" customHeight="1" x14ac:dyDescent="0.25">
      <c r="A75"/>
      <c r="B75" s="6"/>
    </row>
    <row r="76" spans="1:13" s="5" customFormat="1" ht="30" customHeight="1" x14ac:dyDescent="0.25">
      <c r="A76"/>
      <c r="B76" s="6"/>
    </row>
    <row r="77" spans="1:13" s="5" customFormat="1" ht="30" customHeight="1" x14ac:dyDescent="0.25">
      <c r="A77"/>
      <c r="B77" s="6"/>
    </row>
    <row r="78" spans="1:13" s="5" customFormat="1" ht="30" customHeight="1" x14ac:dyDescent="0.25">
      <c r="A78"/>
      <c r="B78" s="6"/>
    </row>
    <row r="79" spans="1:13" s="5" customFormat="1" ht="30" customHeight="1" x14ac:dyDescent="0.25">
      <c r="A79"/>
      <c r="B79" s="6"/>
    </row>
    <row r="80" spans="1:13" s="5" customFormat="1" ht="30" customHeight="1" x14ac:dyDescent="0.25">
      <c r="A80"/>
      <c r="B80" s="6"/>
    </row>
    <row r="81" spans="1:2" s="5" customFormat="1" ht="30" customHeight="1" x14ac:dyDescent="0.25">
      <c r="A81"/>
      <c r="B81" s="6"/>
    </row>
    <row r="82" spans="1:2" s="5" customFormat="1" ht="30" customHeight="1" x14ac:dyDescent="0.25">
      <c r="A82"/>
      <c r="B82" s="6"/>
    </row>
    <row r="83" spans="1:2" s="5" customFormat="1" ht="30" customHeight="1" x14ac:dyDescent="0.25">
      <c r="A83"/>
      <c r="B83" s="6"/>
    </row>
    <row r="84" spans="1:2" s="5" customFormat="1" ht="30" customHeight="1" x14ac:dyDescent="0.25">
      <c r="A84"/>
      <c r="B84" s="6"/>
    </row>
    <row r="85" spans="1:2" s="5" customFormat="1" ht="30" customHeight="1" x14ac:dyDescent="0.25">
      <c r="A85"/>
      <c r="B85" s="6"/>
    </row>
    <row r="86" spans="1:2" s="5" customFormat="1" ht="30" customHeight="1" x14ac:dyDescent="0.25">
      <c r="A86"/>
      <c r="B86" s="6"/>
    </row>
    <row r="87" spans="1:2" s="5" customFormat="1" ht="30" customHeight="1" x14ac:dyDescent="0.25">
      <c r="A87"/>
      <c r="B87" s="6"/>
    </row>
    <row r="88" spans="1:2" s="5" customFormat="1" ht="30" customHeight="1" x14ac:dyDescent="0.25">
      <c r="A88"/>
      <c r="B88" s="6"/>
    </row>
    <row r="89" spans="1:2" s="5" customFormat="1" ht="30" customHeight="1" x14ac:dyDescent="0.25">
      <c r="A89"/>
      <c r="B89" s="6"/>
    </row>
    <row r="90" spans="1:2" s="5" customFormat="1" ht="30" customHeight="1" x14ac:dyDescent="0.25">
      <c r="A90"/>
      <c r="B90" s="6"/>
    </row>
    <row r="91" spans="1:2" s="5" customFormat="1" ht="30" customHeight="1" x14ac:dyDescent="0.25">
      <c r="A91"/>
      <c r="B91" s="6"/>
    </row>
    <row r="92" spans="1:2" s="5" customFormat="1" ht="30" customHeight="1" x14ac:dyDescent="0.25">
      <c r="A92"/>
      <c r="B92" s="6"/>
    </row>
    <row r="93" spans="1:2" s="5" customFormat="1" ht="30" customHeight="1" x14ac:dyDescent="0.25">
      <c r="A93"/>
      <c r="B93" s="6"/>
    </row>
    <row r="94" spans="1:2" s="5" customFormat="1" ht="30" customHeight="1" x14ac:dyDescent="0.25">
      <c r="A94"/>
      <c r="B94" s="6"/>
    </row>
    <row r="95" spans="1:2" s="5" customFormat="1" ht="30" customHeight="1" x14ac:dyDescent="0.25">
      <c r="A95"/>
      <c r="B95" s="6"/>
    </row>
    <row r="96" spans="1:2" s="5" customFormat="1" ht="30" customHeight="1" x14ac:dyDescent="0.25">
      <c r="A96"/>
      <c r="B96" s="6"/>
    </row>
    <row r="97" spans="1:2" s="5" customFormat="1" ht="30" customHeight="1" x14ac:dyDescent="0.25">
      <c r="A97"/>
      <c r="B97" s="6"/>
    </row>
    <row r="98" spans="1:2" s="5" customFormat="1" ht="30" customHeight="1" x14ac:dyDescent="0.25">
      <c r="A98"/>
      <c r="B98" s="6"/>
    </row>
    <row r="99" spans="1:2" s="5" customFormat="1" ht="30" customHeight="1" x14ac:dyDescent="0.25">
      <c r="A99"/>
      <c r="B99" s="6"/>
    </row>
    <row r="100" spans="1:2" s="5" customFormat="1" ht="30" customHeight="1" x14ac:dyDescent="0.25">
      <c r="A100"/>
      <c r="B100" s="6"/>
    </row>
    <row r="101" spans="1:2" s="5" customFormat="1" ht="30" customHeight="1" x14ac:dyDescent="0.25">
      <c r="A101"/>
      <c r="B101" s="6"/>
    </row>
    <row r="102" spans="1:2" s="5" customFormat="1" ht="30" customHeight="1" x14ac:dyDescent="0.25">
      <c r="A102"/>
      <c r="B102" s="6"/>
    </row>
    <row r="103" spans="1:2" s="5" customFormat="1" ht="30" customHeight="1" x14ac:dyDescent="0.25">
      <c r="A103"/>
      <c r="B103" s="6"/>
    </row>
    <row r="104" spans="1:2" s="5" customFormat="1" ht="30" customHeight="1" x14ac:dyDescent="0.25">
      <c r="A104"/>
      <c r="B104" s="6"/>
    </row>
    <row r="105" spans="1:2" s="5" customFormat="1" ht="30" customHeight="1" x14ac:dyDescent="0.25">
      <c r="A105"/>
      <c r="B105" s="6"/>
    </row>
    <row r="106" spans="1:2" s="5" customFormat="1" ht="30" customHeight="1" x14ac:dyDescent="0.25">
      <c r="A106"/>
      <c r="B106" s="6"/>
    </row>
    <row r="107" spans="1:2" s="5" customFormat="1" ht="30" customHeight="1" x14ac:dyDescent="0.25">
      <c r="A107"/>
      <c r="B107" s="6"/>
    </row>
    <row r="108" spans="1:2" s="5" customFormat="1" ht="30" customHeight="1" x14ac:dyDescent="0.25">
      <c r="A108"/>
      <c r="B108" s="6"/>
    </row>
    <row r="109" spans="1:2" s="5" customFormat="1" ht="30" customHeight="1" x14ac:dyDescent="0.25">
      <c r="A109"/>
      <c r="B109" s="6"/>
    </row>
    <row r="110" spans="1:2" s="5" customFormat="1" ht="30" customHeight="1" x14ac:dyDescent="0.25">
      <c r="A110"/>
      <c r="B110" s="6"/>
    </row>
    <row r="111" spans="1:2" s="5" customFormat="1" ht="30" customHeight="1" x14ac:dyDescent="0.25">
      <c r="A111"/>
      <c r="B111" s="6"/>
    </row>
    <row r="112" spans="1:2" s="5" customFormat="1" ht="30" customHeight="1" x14ac:dyDescent="0.25">
      <c r="A112"/>
      <c r="B112" s="6"/>
    </row>
    <row r="113" spans="1:2" s="5" customFormat="1" ht="30" customHeight="1" x14ac:dyDescent="0.25">
      <c r="A113"/>
      <c r="B113" s="6"/>
    </row>
    <row r="114" spans="1:2" s="5" customFormat="1" ht="30" customHeight="1" x14ac:dyDescent="0.25">
      <c r="A114"/>
      <c r="B114" s="6"/>
    </row>
    <row r="115" spans="1:2" s="5" customFormat="1" ht="30" customHeight="1" x14ac:dyDescent="0.25">
      <c r="A115"/>
      <c r="B115" s="6"/>
    </row>
    <row r="116" spans="1:2" s="5" customFormat="1" ht="30" customHeight="1" x14ac:dyDescent="0.25">
      <c r="A116"/>
      <c r="B116" s="6"/>
    </row>
    <row r="117" spans="1:2" s="5" customFormat="1" ht="30" customHeight="1" x14ac:dyDescent="0.25">
      <c r="A117"/>
      <c r="B117" s="6"/>
    </row>
    <row r="118" spans="1:2" s="5" customFormat="1" ht="30" customHeight="1" x14ac:dyDescent="0.25">
      <c r="A118"/>
      <c r="B118" s="6"/>
    </row>
    <row r="119" spans="1:2" s="5" customFormat="1" ht="30" customHeight="1" x14ac:dyDescent="0.25">
      <c r="A119"/>
      <c r="B119" s="6"/>
    </row>
    <row r="120" spans="1:2" s="5" customFormat="1" ht="30" customHeight="1" x14ac:dyDescent="0.25">
      <c r="A120"/>
      <c r="B120" s="6"/>
    </row>
    <row r="121" spans="1:2" s="5" customFormat="1" ht="30" customHeight="1" x14ac:dyDescent="0.25">
      <c r="A121"/>
      <c r="B121" s="6"/>
    </row>
    <row r="122" spans="1:2" s="5" customFormat="1" ht="30" customHeight="1" x14ac:dyDescent="0.25">
      <c r="A122"/>
      <c r="B122" s="6"/>
    </row>
    <row r="123" spans="1:2" s="5" customFormat="1" ht="30" customHeight="1" x14ac:dyDescent="0.25">
      <c r="A123"/>
      <c r="B123" s="6"/>
    </row>
    <row r="124" spans="1:2" s="5" customFormat="1" ht="30" customHeight="1" x14ac:dyDescent="0.25">
      <c r="A124"/>
      <c r="B124" s="6"/>
    </row>
    <row r="125" spans="1:2" s="5" customFormat="1" ht="30" customHeight="1" x14ac:dyDescent="0.25">
      <c r="A125"/>
      <c r="B125" s="6"/>
    </row>
    <row r="126" spans="1:2" s="5" customFormat="1" ht="30" customHeight="1" x14ac:dyDescent="0.25">
      <c r="A126"/>
      <c r="B126" s="6"/>
    </row>
    <row r="127" spans="1:2" s="5" customFormat="1" ht="30" customHeight="1" x14ac:dyDescent="0.25">
      <c r="A127"/>
      <c r="B127" s="6"/>
    </row>
    <row r="128" spans="1:2" s="5" customFormat="1" ht="30" customHeight="1" x14ac:dyDescent="0.25">
      <c r="A128"/>
      <c r="B128" s="6"/>
    </row>
    <row r="129" spans="1:2" s="5" customFormat="1" ht="30" customHeight="1" x14ac:dyDescent="0.25">
      <c r="A129"/>
      <c r="B129" s="6"/>
    </row>
    <row r="130" spans="1:2" s="5" customFormat="1" ht="30" customHeight="1" x14ac:dyDescent="0.25">
      <c r="A130"/>
      <c r="B130" s="6"/>
    </row>
    <row r="131" spans="1:2" s="5" customFormat="1" ht="30" customHeight="1" x14ac:dyDescent="0.25">
      <c r="A131"/>
      <c r="B131" s="6"/>
    </row>
    <row r="132" spans="1:2" s="5" customFormat="1" ht="30" customHeight="1" x14ac:dyDescent="0.25">
      <c r="A132"/>
      <c r="B132" s="6"/>
    </row>
    <row r="133" spans="1:2" s="5" customFormat="1" ht="30" customHeight="1" x14ac:dyDescent="0.25">
      <c r="A133"/>
      <c r="B133" s="6"/>
    </row>
    <row r="134" spans="1:2" s="5" customFormat="1" ht="30" customHeight="1" x14ac:dyDescent="0.25">
      <c r="A134"/>
      <c r="B134" s="6"/>
    </row>
    <row r="135" spans="1:2" s="5" customFormat="1" ht="30" customHeight="1" x14ac:dyDescent="0.25">
      <c r="A135"/>
      <c r="B135" s="6"/>
    </row>
    <row r="136" spans="1:2" s="5" customFormat="1" ht="30" customHeight="1" x14ac:dyDescent="0.25">
      <c r="A136"/>
      <c r="B136" s="6"/>
    </row>
    <row r="137" spans="1:2" s="5" customFormat="1" ht="30" customHeight="1" x14ac:dyDescent="0.25">
      <c r="A137"/>
      <c r="B137" s="6"/>
    </row>
    <row r="138" spans="1:2" s="5" customFormat="1" ht="30" customHeight="1" x14ac:dyDescent="0.25">
      <c r="A138"/>
      <c r="B138" s="6"/>
    </row>
    <row r="139" spans="1:2" s="5" customFormat="1" ht="30" customHeight="1" x14ac:dyDescent="0.25">
      <c r="A139"/>
      <c r="B139" s="6"/>
    </row>
    <row r="140" spans="1:2" s="5" customFormat="1" ht="30" customHeight="1" x14ac:dyDescent="0.25">
      <c r="A140"/>
      <c r="B140" s="6"/>
    </row>
    <row r="141" spans="1:2" s="5" customFormat="1" ht="30" customHeight="1" x14ac:dyDescent="0.25">
      <c r="A141"/>
      <c r="B141" s="6"/>
    </row>
    <row r="142" spans="1:2" s="5" customFormat="1" ht="30" customHeight="1" x14ac:dyDescent="0.25">
      <c r="A142"/>
      <c r="B142" s="6"/>
    </row>
    <row r="143" spans="1:2" s="5" customFormat="1" ht="30" customHeight="1" x14ac:dyDescent="0.25">
      <c r="A143"/>
      <c r="B143" s="6"/>
    </row>
    <row r="144" spans="1:2" s="5" customFormat="1" ht="30" customHeight="1" x14ac:dyDescent="0.25">
      <c r="A144"/>
      <c r="B144" s="6"/>
    </row>
    <row r="145" spans="1:2" s="5" customFormat="1" ht="30" customHeight="1" x14ac:dyDescent="0.25">
      <c r="A145"/>
      <c r="B145" s="6"/>
    </row>
    <row r="146" spans="1:2" s="5" customFormat="1" ht="30" customHeight="1" x14ac:dyDescent="0.25">
      <c r="A146"/>
      <c r="B146" s="6"/>
    </row>
    <row r="147" spans="1:2" s="5" customFormat="1" ht="30" customHeight="1" x14ac:dyDescent="0.25">
      <c r="A147"/>
      <c r="B147" s="6"/>
    </row>
    <row r="148" spans="1:2" s="5" customFormat="1" ht="30" customHeight="1" x14ac:dyDescent="0.25">
      <c r="A148"/>
      <c r="B148" s="6"/>
    </row>
    <row r="149" spans="1:2" s="5" customFormat="1" ht="30" customHeight="1" x14ac:dyDescent="0.25">
      <c r="A149"/>
      <c r="B149" s="6"/>
    </row>
    <row r="150" spans="1:2" s="5" customFormat="1" ht="30" customHeight="1" x14ac:dyDescent="0.25">
      <c r="A150"/>
      <c r="B150" s="6"/>
    </row>
    <row r="151" spans="1:2" s="5" customFormat="1" ht="30" customHeight="1" x14ac:dyDescent="0.25">
      <c r="A151"/>
      <c r="B151" s="6"/>
    </row>
    <row r="152" spans="1:2" s="5" customFormat="1" ht="30" customHeight="1" x14ac:dyDescent="0.25">
      <c r="A152"/>
      <c r="B152" s="6"/>
    </row>
    <row r="153" spans="1:2" s="5" customFormat="1" ht="30" customHeight="1" x14ac:dyDescent="0.25">
      <c r="A153"/>
      <c r="B153" s="6"/>
    </row>
    <row r="154" spans="1:2" s="5" customFormat="1" ht="30" customHeight="1" x14ac:dyDescent="0.25">
      <c r="A154"/>
      <c r="B154" s="6"/>
    </row>
    <row r="155" spans="1:2" s="5" customFormat="1" ht="30" customHeight="1" x14ac:dyDescent="0.25">
      <c r="A155"/>
      <c r="B155" s="6"/>
    </row>
    <row r="156" spans="1:2" s="5" customFormat="1" ht="30" customHeight="1" x14ac:dyDescent="0.25">
      <c r="A156"/>
      <c r="B156" s="6"/>
    </row>
    <row r="157" spans="1:2" s="5" customFormat="1" ht="30" customHeight="1" x14ac:dyDescent="0.25">
      <c r="A157"/>
      <c r="B157" s="6"/>
    </row>
    <row r="158" spans="1:2" s="5" customFormat="1" ht="30" customHeight="1" x14ac:dyDescent="0.25">
      <c r="A158"/>
      <c r="B158" s="6"/>
    </row>
    <row r="159" spans="1:2" s="5" customFormat="1" ht="30" customHeight="1" x14ac:dyDescent="0.25">
      <c r="A159"/>
      <c r="B159" s="6"/>
    </row>
    <row r="160" spans="1:2" s="5" customFormat="1" ht="30" customHeight="1" x14ac:dyDescent="0.25">
      <c r="A160"/>
      <c r="B160" s="6"/>
    </row>
    <row r="161" spans="1:2" s="5" customFormat="1" ht="30" customHeight="1" x14ac:dyDescent="0.25">
      <c r="A161"/>
      <c r="B161" s="6"/>
    </row>
    <row r="162" spans="1:2" s="5" customFormat="1" ht="30" customHeight="1" x14ac:dyDescent="0.25">
      <c r="A162"/>
      <c r="B162" s="6"/>
    </row>
    <row r="163" spans="1:2" s="5" customFormat="1" ht="30" customHeight="1" x14ac:dyDescent="0.25">
      <c r="A163"/>
      <c r="B163" s="6"/>
    </row>
    <row r="164" spans="1:2" s="5" customFormat="1" ht="30" customHeight="1" x14ac:dyDescent="0.25">
      <c r="A164"/>
      <c r="B164" s="6"/>
    </row>
    <row r="165" spans="1:2" s="5" customFormat="1" ht="30" customHeight="1" x14ac:dyDescent="0.25">
      <c r="A165"/>
      <c r="B165" s="6"/>
    </row>
    <row r="166" spans="1:2" s="5" customFormat="1" ht="30" customHeight="1" x14ac:dyDescent="0.25">
      <c r="A166"/>
      <c r="B166" s="6"/>
    </row>
    <row r="167" spans="1:2" s="5" customFormat="1" ht="30" customHeight="1" x14ac:dyDescent="0.25">
      <c r="A167"/>
      <c r="B167" s="6"/>
    </row>
    <row r="168" spans="1:2" s="5" customFormat="1" ht="30" customHeight="1" x14ac:dyDescent="0.25">
      <c r="A168"/>
      <c r="B168" s="6"/>
    </row>
    <row r="169" spans="1:2" s="5" customFormat="1" ht="30" customHeight="1" x14ac:dyDescent="0.25">
      <c r="A169"/>
      <c r="B169" s="6"/>
    </row>
    <row r="170" spans="1:2" s="5" customFormat="1" ht="30" customHeight="1" x14ac:dyDescent="0.25">
      <c r="A170"/>
      <c r="B170" s="6"/>
    </row>
    <row r="171" spans="1:2" s="5" customFormat="1" ht="30" customHeight="1" x14ac:dyDescent="0.25">
      <c r="A171"/>
      <c r="B171" s="6"/>
    </row>
    <row r="172" spans="1:2" s="5" customFormat="1" ht="30" customHeight="1" x14ac:dyDescent="0.25">
      <c r="A172"/>
      <c r="B172" s="6"/>
    </row>
    <row r="173" spans="1:2" s="5" customFormat="1" ht="30" customHeight="1" x14ac:dyDescent="0.25">
      <c r="A173"/>
      <c r="B173" s="6"/>
    </row>
    <row r="174" spans="1:2" s="5" customFormat="1" ht="30" customHeight="1" x14ac:dyDescent="0.25">
      <c r="A174"/>
      <c r="B174" s="6"/>
    </row>
    <row r="175" spans="1:2" s="5" customFormat="1" ht="30" customHeight="1" x14ac:dyDescent="0.25">
      <c r="A175"/>
      <c r="B175" s="6"/>
    </row>
    <row r="176" spans="1:2" s="5" customFormat="1" ht="30" customHeight="1" x14ac:dyDescent="0.25">
      <c r="A176"/>
      <c r="B176" s="6"/>
    </row>
    <row r="177" spans="1:2" s="5" customFormat="1" ht="30" customHeight="1" x14ac:dyDescent="0.25">
      <c r="A177"/>
      <c r="B177" s="6"/>
    </row>
    <row r="178" spans="1:2" s="5" customFormat="1" ht="30" customHeight="1" x14ac:dyDescent="0.25">
      <c r="A178"/>
      <c r="B178" s="6"/>
    </row>
    <row r="179" spans="1:2" s="5" customFormat="1" ht="30" customHeight="1" x14ac:dyDescent="0.25">
      <c r="A179"/>
      <c r="B179" s="6"/>
    </row>
    <row r="180" spans="1:2" s="5" customFormat="1" ht="30" customHeight="1" x14ac:dyDescent="0.25">
      <c r="A180"/>
      <c r="B180" s="6"/>
    </row>
    <row r="181" spans="1:2" s="5" customFormat="1" ht="30" customHeight="1" x14ac:dyDescent="0.25">
      <c r="A181"/>
      <c r="B181" s="6"/>
    </row>
    <row r="182" spans="1:2" s="5" customFormat="1" ht="30" customHeight="1" x14ac:dyDescent="0.25">
      <c r="A182"/>
      <c r="B182" s="6"/>
    </row>
    <row r="183" spans="1:2" s="5" customFormat="1" ht="30" customHeight="1" x14ac:dyDescent="0.25">
      <c r="A183"/>
      <c r="B183" s="6"/>
    </row>
    <row r="184" spans="1:2" s="5" customFormat="1" ht="30" customHeight="1" x14ac:dyDescent="0.25">
      <c r="A184"/>
      <c r="B184" s="6"/>
    </row>
    <row r="185" spans="1:2" s="5" customFormat="1" ht="30" customHeight="1" x14ac:dyDescent="0.25">
      <c r="A185"/>
      <c r="B185" s="6"/>
    </row>
    <row r="186" spans="1:2" s="5" customFormat="1" ht="30" customHeight="1" x14ac:dyDescent="0.25">
      <c r="A186"/>
      <c r="B186" s="6"/>
    </row>
    <row r="187" spans="1:2" s="5" customFormat="1" ht="30" customHeight="1" x14ac:dyDescent="0.25">
      <c r="A187"/>
      <c r="B187" s="6"/>
    </row>
    <row r="188" spans="1:2" s="5" customFormat="1" ht="30" customHeight="1" x14ac:dyDescent="0.25">
      <c r="A188"/>
      <c r="B188" s="6"/>
    </row>
    <row r="189" spans="1:2" s="5" customFormat="1" ht="30" customHeight="1" x14ac:dyDescent="0.25">
      <c r="A189"/>
      <c r="B189" s="6"/>
    </row>
    <row r="190" spans="1:2" s="5" customFormat="1" ht="30" customHeight="1" x14ac:dyDescent="0.25">
      <c r="A190"/>
      <c r="B190" s="6"/>
    </row>
    <row r="191" spans="1:2" s="5" customFormat="1" ht="30" customHeight="1" x14ac:dyDescent="0.25">
      <c r="A191"/>
      <c r="B191" s="6"/>
    </row>
    <row r="192" spans="1:2" s="5" customFormat="1" ht="30" customHeight="1" x14ac:dyDescent="0.25">
      <c r="A192"/>
      <c r="B192" s="6"/>
    </row>
    <row r="193" spans="1:2" s="5" customFormat="1" ht="30" customHeight="1" x14ac:dyDescent="0.25">
      <c r="A193"/>
      <c r="B193" s="6"/>
    </row>
    <row r="194" spans="1:2" s="5" customFormat="1" ht="30" customHeight="1" x14ac:dyDescent="0.25">
      <c r="A194"/>
      <c r="B194" s="6"/>
    </row>
    <row r="195" spans="1:2" s="5" customFormat="1" ht="30" customHeight="1" x14ac:dyDescent="0.25">
      <c r="A195"/>
      <c r="B195" s="6"/>
    </row>
    <row r="196" spans="1:2" s="5" customFormat="1" ht="30" customHeight="1" x14ac:dyDescent="0.25">
      <c r="A196"/>
      <c r="B196" s="6"/>
    </row>
    <row r="197" spans="1:2" s="5" customFormat="1" ht="30" customHeight="1" x14ac:dyDescent="0.25">
      <c r="A197"/>
      <c r="B197" s="6"/>
    </row>
    <row r="198" spans="1:2" s="5" customFormat="1" ht="30" customHeight="1" x14ac:dyDescent="0.25">
      <c r="A198"/>
      <c r="B198" s="6"/>
    </row>
    <row r="199" spans="1:2" s="5" customFormat="1" ht="30" customHeight="1" x14ac:dyDescent="0.25">
      <c r="A199"/>
      <c r="B199" s="6"/>
    </row>
    <row r="200" spans="1:2" s="5" customFormat="1" ht="30" customHeight="1" x14ac:dyDescent="0.25">
      <c r="A200"/>
      <c r="B200" s="6"/>
    </row>
    <row r="201" spans="1:2" s="5" customFormat="1" ht="30" customHeight="1" x14ac:dyDescent="0.25">
      <c r="A201"/>
      <c r="B201" s="6"/>
    </row>
    <row r="202" spans="1:2" s="5" customFormat="1" ht="30" customHeight="1" x14ac:dyDescent="0.25">
      <c r="A202"/>
      <c r="B202" s="6"/>
    </row>
    <row r="203" spans="1:2" s="5" customFormat="1" ht="30" customHeight="1" x14ac:dyDescent="0.25">
      <c r="A203"/>
      <c r="B203" s="6"/>
    </row>
    <row r="204" spans="1:2" s="5" customFormat="1" ht="30" customHeight="1" x14ac:dyDescent="0.25">
      <c r="A204"/>
      <c r="B204" s="6"/>
    </row>
    <row r="205" spans="1:2" s="5" customFormat="1" ht="30" customHeight="1" x14ac:dyDescent="0.25">
      <c r="A205"/>
      <c r="B205" s="6"/>
    </row>
    <row r="206" spans="1:2" s="5" customFormat="1" ht="30" customHeight="1" x14ac:dyDescent="0.25">
      <c r="A206"/>
      <c r="B206" s="6"/>
    </row>
    <row r="207" spans="1:2" s="5" customFormat="1" ht="30" customHeight="1" x14ac:dyDescent="0.25">
      <c r="A207"/>
      <c r="B207" s="6"/>
    </row>
    <row r="208" spans="1:2" s="5" customFormat="1" ht="30" customHeight="1" x14ac:dyDescent="0.25">
      <c r="A208"/>
      <c r="B208" s="6"/>
    </row>
    <row r="209" spans="1:2" s="5" customFormat="1" ht="30" customHeight="1" x14ac:dyDescent="0.25">
      <c r="A209"/>
      <c r="B209" s="6"/>
    </row>
    <row r="210" spans="1:2" s="5" customFormat="1" ht="30" customHeight="1" x14ac:dyDescent="0.25">
      <c r="A210"/>
      <c r="B210" s="6"/>
    </row>
    <row r="211" spans="1:2" s="5" customFormat="1" ht="30" customHeight="1" x14ac:dyDescent="0.25">
      <c r="A211"/>
      <c r="B211" s="6"/>
    </row>
    <row r="212" spans="1:2" s="5" customFormat="1" ht="30" customHeight="1" x14ac:dyDescent="0.25">
      <c r="A212"/>
      <c r="B212" s="6"/>
    </row>
    <row r="213" spans="1:2" s="5" customFormat="1" ht="30" customHeight="1" x14ac:dyDescent="0.25">
      <c r="A213"/>
      <c r="B213" s="6"/>
    </row>
    <row r="214" spans="1:2" s="5" customFormat="1" ht="30" customHeight="1" x14ac:dyDescent="0.25">
      <c r="A214"/>
      <c r="B214" s="6"/>
    </row>
    <row r="215" spans="1:2" s="5" customFormat="1" ht="30" customHeight="1" x14ac:dyDescent="0.25">
      <c r="A215"/>
      <c r="B215" s="6"/>
    </row>
    <row r="216" spans="1:2" s="5" customFormat="1" ht="30" customHeight="1" x14ac:dyDescent="0.25">
      <c r="A216"/>
      <c r="B216" s="6"/>
    </row>
    <row r="217" spans="1:2" s="5" customFormat="1" ht="30" customHeight="1" x14ac:dyDescent="0.25">
      <c r="A217"/>
      <c r="B217" s="6"/>
    </row>
    <row r="218" spans="1:2" s="5" customFormat="1" ht="30" customHeight="1" x14ac:dyDescent="0.25">
      <c r="A218"/>
      <c r="B218" s="6"/>
    </row>
    <row r="219" spans="1:2" s="5" customFormat="1" ht="30" customHeight="1" x14ac:dyDescent="0.25">
      <c r="A219"/>
      <c r="B219" s="6"/>
    </row>
    <row r="220" spans="1:2" s="5" customFormat="1" ht="30" customHeight="1" x14ac:dyDescent="0.25">
      <c r="A220"/>
      <c r="B220" s="6"/>
    </row>
    <row r="221" spans="1:2" s="5" customFormat="1" ht="30" customHeight="1" x14ac:dyDescent="0.25">
      <c r="A221"/>
      <c r="B221" s="6"/>
    </row>
    <row r="222" spans="1:2" s="5" customFormat="1" ht="30" customHeight="1" x14ac:dyDescent="0.25">
      <c r="A222"/>
      <c r="B222" s="6"/>
    </row>
    <row r="223" spans="1:2" s="5" customFormat="1" ht="30" customHeight="1" x14ac:dyDescent="0.25">
      <c r="A223"/>
      <c r="B223" s="6"/>
    </row>
    <row r="224" spans="1:2" s="5" customFormat="1" ht="30" customHeight="1" x14ac:dyDescent="0.25">
      <c r="A224"/>
      <c r="B224" s="6"/>
    </row>
    <row r="225" spans="1:2" s="5" customFormat="1" ht="30" customHeight="1" x14ac:dyDescent="0.25">
      <c r="A225"/>
      <c r="B225" s="6"/>
    </row>
    <row r="226" spans="1:2" s="5" customFormat="1" ht="30" customHeight="1" x14ac:dyDescent="0.25">
      <c r="A226"/>
      <c r="B226" s="6"/>
    </row>
    <row r="227" spans="1:2" s="5" customFormat="1" ht="30" customHeight="1" x14ac:dyDescent="0.25">
      <c r="A227"/>
      <c r="B227" s="6"/>
    </row>
    <row r="228" spans="1:2" s="5" customFormat="1" ht="30" customHeight="1" x14ac:dyDescent="0.25">
      <c r="A228"/>
      <c r="B228" s="6"/>
    </row>
    <row r="229" spans="1:2" s="5" customFormat="1" ht="30" customHeight="1" x14ac:dyDescent="0.25">
      <c r="A229"/>
      <c r="B229" s="6"/>
    </row>
    <row r="230" spans="1:2" s="5" customFormat="1" ht="30" customHeight="1" x14ac:dyDescent="0.25">
      <c r="A230"/>
      <c r="B230" s="6"/>
    </row>
    <row r="231" spans="1:2" s="5" customFormat="1" ht="30" customHeight="1" x14ac:dyDescent="0.25">
      <c r="A231"/>
      <c r="B231" s="6"/>
    </row>
    <row r="232" spans="1:2" s="5" customFormat="1" ht="30" customHeight="1" x14ac:dyDescent="0.25">
      <c r="A232"/>
      <c r="B232" s="6"/>
    </row>
    <row r="233" spans="1:2" s="5" customFormat="1" ht="30" customHeight="1" x14ac:dyDescent="0.25">
      <c r="A233"/>
      <c r="B233" s="6"/>
    </row>
    <row r="234" spans="1:2" s="5" customFormat="1" ht="30" customHeight="1" x14ac:dyDescent="0.25">
      <c r="A234"/>
      <c r="B234" s="6"/>
    </row>
    <row r="235" spans="1:2" s="5" customFormat="1" ht="30" customHeight="1" x14ac:dyDescent="0.25">
      <c r="A235"/>
      <c r="B235" s="6"/>
    </row>
    <row r="236" spans="1:2" s="5" customFormat="1" ht="30" customHeight="1" x14ac:dyDescent="0.25">
      <c r="A236"/>
      <c r="B236" s="6"/>
    </row>
    <row r="237" spans="1:2" s="5" customFormat="1" ht="30" customHeight="1" x14ac:dyDescent="0.25">
      <c r="A237"/>
      <c r="B237" s="6"/>
    </row>
    <row r="238" spans="1:2" s="5" customFormat="1" ht="30" customHeight="1" x14ac:dyDescent="0.25">
      <c r="A238"/>
      <c r="B238" s="6"/>
    </row>
    <row r="239" spans="1:2" s="5" customFormat="1" ht="30" customHeight="1" x14ac:dyDescent="0.25">
      <c r="A239"/>
      <c r="B239" s="6"/>
    </row>
    <row r="240" spans="1:2" s="5" customFormat="1" ht="30" customHeight="1" x14ac:dyDescent="0.25">
      <c r="A240"/>
      <c r="B240" s="6"/>
    </row>
    <row r="241" spans="1:2" s="5" customFormat="1" ht="30" customHeight="1" x14ac:dyDescent="0.25">
      <c r="A241"/>
      <c r="B241" s="6"/>
    </row>
    <row r="242" spans="1:2" s="5" customFormat="1" ht="30" customHeight="1" x14ac:dyDescent="0.25">
      <c r="A242"/>
      <c r="B242" s="6"/>
    </row>
    <row r="243" spans="1:2" s="5" customFormat="1" ht="30" customHeight="1" x14ac:dyDescent="0.25">
      <c r="A243"/>
      <c r="B243" s="6"/>
    </row>
    <row r="244" spans="1:2" s="5" customFormat="1" ht="30" customHeight="1" x14ac:dyDescent="0.25">
      <c r="A244"/>
      <c r="B244" s="6"/>
    </row>
    <row r="245" spans="1:2" s="5" customFormat="1" ht="30" customHeight="1" x14ac:dyDescent="0.25">
      <c r="A245"/>
      <c r="B245" s="6"/>
    </row>
    <row r="246" spans="1:2" s="5" customFormat="1" ht="30" customHeight="1" x14ac:dyDescent="0.25">
      <c r="A246"/>
      <c r="B246" s="6"/>
    </row>
    <row r="247" spans="1:2" s="5" customFormat="1" ht="30" customHeight="1" x14ac:dyDescent="0.25">
      <c r="A247"/>
      <c r="B247" s="6"/>
    </row>
    <row r="248" spans="1:2" s="5" customFormat="1" ht="30" customHeight="1" x14ac:dyDescent="0.25">
      <c r="A248"/>
      <c r="B248" s="6"/>
    </row>
    <row r="249" spans="1:2" s="5" customFormat="1" ht="30" customHeight="1" x14ac:dyDescent="0.25">
      <c r="A249"/>
      <c r="B249" s="6"/>
    </row>
    <row r="250" spans="1:2" s="5" customFormat="1" ht="30" customHeight="1" x14ac:dyDescent="0.25">
      <c r="A250"/>
      <c r="B250" s="6"/>
    </row>
    <row r="251" spans="1:2" s="5" customFormat="1" ht="30" customHeight="1" x14ac:dyDescent="0.25">
      <c r="A251"/>
      <c r="B251" s="6"/>
    </row>
    <row r="252" spans="1:2" s="5" customFormat="1" ht="30" customHeight="1" x14ac:dyDescent="0.25">
      <c r="A252"/>
      <c r="B252" s="6"/>
    </row>
    <row r="253" spans="1:2" s="5" customFormat="1" ht="30" customHeight="1" x14ac:dyDescent="0.25">
      <c r="A253"/>
      <c r="B253" s="6"/>
    </row>
    <row r="254" spans="1:2" s="5" customFormat="1" ht="30" customHeight="1" x14ac:dyDescent="0.25">
      <c r="A254"/>
      <c r="B254" s="6"/>
    </row>
    <row r="255" spans="1:2" s="5" customFormat="1" ht="30" customHeight="1" x14ac:dyDescent="0.25">
      <c r="A255"/>
      <c r="B255" s="6"/>
    </row>
    <row r="256" spans="1:2" s="5" customFormat="1" ht="30" customHeight="1" x14ac:dyDescent="0.25">
      <c r="A256"/>
      <c r="B256" s="6"/>
    </row>
    <row r="257" spans="1:2" s="5" customFormat="1" ht="30" customHeight="1" x14ac:dyDescent="0.25">
      <c r="A257"/>
      <c r="B257" s="6"/>
    </row>
    <row r="258" spans="1:2" s="5" customFormat="1" ht="30" customHeight="1" x14ac:dyDescent="0.25">
      <c r="A258"/>
      <c r="B258" s="6"/>
    </row>
    <row r="259" spans="1:2" s="5" customFormat="1" ht="30" customHeight="1" x14ac:dyDescent="0.25">
      <c r="A259"/>
      <c r="B259" s="6"/>
    </row>
    <row r="260" spans="1:2" s="5" customFormat="1" ht="30" customHeight="1" x14ac:dyDescent="0.25">
      <c r="A260"/>
      <c r="B260" s="6"/>
    </row>
    <row r="261" spans="1:2" s="5" customFormat="1" ht="30" customHeight="1" x14ac:dyDescent="0.25">
      <c r="A261"/>
      <c r="B261" s="6"/>
    </row>
    <row r="262" spans="1:2" s="5" customFormat="1" ht="30" customHeight="1" x14ac:dyDescent="0.25">
      <c r="A262"/>
      <c r="B262" s="6"/>
    </row>
    <row r="263" spans="1:2" s="5" customFormat="1" ht="30" customHeight="1" x14ac:dyDescent="0.25">
      <c r="A263"/>
      <c r="B263" s="6"/>
    </row>
    <row r="264" spans="1:2" s="5" customFormat="1" ht="30" customHeight="1" x14ac:dyDescent="0.25">
      <c r="A264"/>
      <c r="B264" s="6"/>
    </row>
    <row r="265" spans="1:2" s="5" customFormat="1" ht="30" customHeight="1" x14ac:dyDescent="0.25">
      <c r="A265"/>
      <c r="B265" s="6"/>
    </row>
    <row r="266" spans="1:2" s="5" customFormat="1" ht="30" customHeight="1" x14ac:dyDescent="0.25">
      <c r="A266"/>
      <c r="B266" s="6"/>
    </row>
    <row r="267" spans="1:2" s="5" customFormat="1" ht="30" customHeight="1" x14ac:dyDescent="0.25">
      <c r="A267"/>
      <c r="B267" s="6"/>
    </row>
    <row r="268" spans="1:2" s="5" customFormat="1" ht="30" customHeight="1" x14ac:dyDescent="0.25">
      <c r="A268"/>
      <c r="B268" s="6"/>
    </row>
    <row r="269" spans="1:2" s="5" customFormat="1" ht="30" customHeight="1" x14ac:dyDescent="0.25">
      <c r="A269"/>
      <c r="B269" s="6"/>
    </row>
    <row r="270" spans="1:2" s="5" customFormat="1" ht="30" customHeight="1" x14ac:dyDescent="0.25">
      <c r="A270"/>
      <c r="B270" s="6"/>
    </row>
    <row r="271" spans="1:2" s="5" customFormat="1" ht="30" customHeight="1" x14ac:dyDescent="0.25">
      <c r="A271"/>
      <c r="B271" s="6"/>
    </row>
    <row r="272" spans="1:2" s="5" customFormat="1" ht="30" customHeight="1" x14ac:dyDescent="0.25">
      <c r="A272"/>
      <c r="B272" s="6"/>
    </row>
    <row r="273" spans="1:2" s="5" customFormat="1" ht="30" customHeight="1" x14ac:dyDescent="0.25">
      <c r="A273"/>
      <c r="B273" s="6"/>
    </row>
    <row r="274" spans="1:2" s="5" customFormat="1" ht="30" customHeight="1" x14ac:dyDescent="0.25">
      <c r="A274"/>
      <c r="B274" s="6"/>
    </row>
    <row r="275" spans="1:2" s="5" customFormat="1" ht="30" customHeight="1" x14ac:dyDescent="0.25">
      <c r="A275"/>
      <c r="B275" s="6"/>
    </row>
    <row r="276" spans="1:2" s="5" customFormat="1" ht="30" customHeight="1" x14ac:dyDescent="0.25">
      <c r="A276"/>
      <c r="B276" s="6"/>
    </row>
    <row r="277" spans="1:2" s="5" customFormat="1" ht="30" customHeight="1" x14ac:dyDescent="0.25">
      <c r="A277"/>
      <c r="B277" s="6"/>
    </row>
    <row r="278" spans="1:2" s="5" customFormat="1" ht="30" customHeight="1" x14ac:dyDescent="0.25">
      <c r="A278"/>
      <c r="B278" s="6"/>
    </row>
    <row r="279" spans="1:2" s="5" customFormat="1" ht="30" customHeight="1" x14ac:dyDescent="0.25">
      <c r="A279"/>
      <c r="B279" s="6"/>
    </row>
    <row r="280" spans="1:2" s="5" customFormat="1" ht="30" customHeight="1" x14ac:dyDescent="0.25">
      <c r="A280"/>
      <c r="B280" s="6"/>
    </row>
    <row r="281" spans="1:2" s="5" customFormat="1" ht="30" customHeight="1" x14ac:dyDescent="0.25">
      <c r="A281"/>
      <c r="B281" s="6"/>
    </row>
    <row r="282" spans="1:2" s="5" customFormat="1" ht="30" customHeight="1" x14ac:dyDescent="0.25">
      <c r="A282"/>
      <c r="B282" s="6"/>
    </row>
    <row r="283" spans="1:2" s="5" customFormat="1" ht="30" customHeight="1" x14ac:dyDescent="0.25">
      <c r="A283"/>
      <c r="B283" s="6"/>
    </row>
    <row r="284" spans="1:2" s="5" customFormat="1" ht="30" customHeight="1" x14ac:dyDescent="0.25">
      <c r="A284"/>
      <c r="B284" s="6"/>
    </row>
    <row r="285" spans="1:2" s="5" customFormat="1" ht="30" customHeight="1" x14ac:dyDescent="0.25">
      <c r="A285"/>
      <c r="B285" s="6"/>
    </row>
    <row r="286" spans="1:2" s="5" customFormat="1" ht="30" customHeight="1" x14ac:dyDescent="0.25">
      <c r="A286"/>
      <c r="B286" s="6"/>
    </row>
    <row r="287" spans="1:2" s="5" customFormat="1" ht="30" customHeight="1" x14ac:dyDescent="0.25">
      <c r="A287"/>
      <c r="B287" s="6"/>
    </row>
    <row r="288" spans="1:2" s="5" customFormat="1" ht="30" customHeight="1" x14ac:dyDescent="0.25">
      <c r="A288"/>
      <c r="B288" s="6"/>
    </row>
    <row r="289" spans="1:2" s="5" customFormat="1" ht="30" customHeight="1" x14ac:dyDescent="0.25">
      <c r="A289"/>
      <c r="B289" s="6"/>
    </row>
    <row r="290" spans="1:2" s="5" customFormat="1" ht="30" customHeight="1" x14ac:dyDescent="0.25">
      <c r="A290"/>
      <c r="B290" s="6"/>
    </row>
    <row r="291" spans="1:2" s="5" customFormat="1" ht="30" customHeight="1" x14ac:dyDescent="0.25">
      <c r="A291"/>
      <c r="B291" s="6"/>
    </row>
    <row r="292" spans="1:2" s="5" customFormat="1" ht="30" customHeight="1" x14ac:dyDescent="0.25">
      <c r="A292"/>
      <c r="B292" s="6"/>
    </row>
    <row r="293" spans="1:2" s="5" customFormat="1" ht="30" customHeight="1" x14ac:dyDescent="0.25">
      <c r="A293"/>
      <c r="B293" s="6"/>
    </row>
    <row r="294" spans="1:2" s="5" customFormat="1" ht="30" customHeight="1" x14ac:dyDescent="0.25">
      <c r="A294"/>
      <c r="B294" s="6"/>
    </row>
    <row r="295" spans="1:2" s="5" customFormat="1" ht="30" customHeight="1" x14ac:dyDescent="0.25">
      <c r="A295"/>
      <c r="B295" s="6"/>
    </row>
    <row r="296" spans="1:2" s="5" customFormat="1" ht="30" customHeight="1" x14ac:dyDescent="0.25">
      <c r="A296"/>
      <c r="B296" s="6"/>
    </row>
    <row r="297" spans="1:2" s="5" customFormat="1" ht="30" customHeight="1" x14ac:dyDescent="0.25">
      <c r="A297"/>
      <c r="B297" s="6"/>
    </row>
    <row r="298" spans="1:2" s="5" customFormat="1" ht="30" customHeight="1" x14ac:dyDescent="0.25">
      <c r="A298"/>
      <c r="B298" s="6"/>
    </row>
    <row r="299" spans="1:2" s="5" customFormat="1" ht="30" customHeight="1" x14ac:dyDescent="0.25">
      <c r="A299"/>
      <c r="B299" s="6"/>
    </row>
    <row r="300" spans="1:2" s="5" customFormat="1" ht="30" customHeight="1" x14ac:dyDescent="0.25">
      <c r="A300"/>
      <c r="B300" s="6"/>
    </row>
    <row r="301" spans="1:2" s="5" customFormat="1" ht="30" customHeight="1" x14ac:dyDescent="0.25">
      <c r="A301"/>
      <c r="B301" s="6"/>
    </row>
    <row r="302" spans="1:2" s="5" customFormat="1" ht="30" customHeight="1" x14ac:dyDescent="0.25">
      <c r="A302"/>
      <c r="B302" s="6"/>
    </row>
    <row r="303" spans="1:2" s="5" customFormat="1" ht="30" customHeight="1" x14ac:dyDescent="0.25">
      <c r="A303"/>
      <c r="B303" s="6"/>
    </row>
    <row r="304" spans="1:2" s="5" customFormat="1" ht="30" customHeight="1" x14ac:dyDescent="0.25">
      <c r="A304"/>
      <c r="B304" s="6"/>
    </row>
    <row r="305" spans="1:2" s="5" customFormat="1" ht="30" customHeight="1" x14ac:dyDescent="0.25">
      <c r="A305"/>
      <c r="B305" s="6"/>
    </row>
    <row r="306" spans="1:2" s="5" customFormat="1" ht="30" customHeight="1" x14ac:dyDescent="0.25">
      <c r="A306"/>
      <c r="B306" s="6"/>
    </row>
    <row r="307" spans="1:2" s="5" customFormat="1" ht="30" customHeight="1" x14ac:dyDescent="0.25">
      <c r="A307"/>
      <c r="B307" s="6"/>
    </row>
    <row r="308" spans="1:2" s="5" customFormat="1" ht="30" customHeight="1" x14ac:dyDescent="0.25">
      <c r="A308"/>
      <c r="B308" s="6"/>
    </row>
    <row r="309" spans="1:2" s="5" customFormat="1" ht="30" customHeight="1" x14ac:dyDescent="0.25">
      <c r="A309"/>
      <c r="B309" s="6"/>
    </row>
    <row r="310" spans="1:2" s="5" customFormat="1" ht="30" customHeight="1" x14ac:dyDescent="0.25">
      <c r="A310"/>
      <c r="B310" s="6"/>
    </row>
    <row r="311" spans="1:2" s="5" customFormat="1" ht="30" customHeight="1" x14ac:dyDescent="0.25">
      <c r="A311"/>
      <c r="B311" s="6"/>
    </row>
    <row r="312" spans="1:2" s="5" customFormat="1" ht="30" customHeight="1" x14ac:dyDescent="0.25">
      <c r="A312"/>
      <c r="B312" s="6"/>
    </row>
    <row r="313" spans="1:2" s="5" customFormat="1" ht="30" customHeight="1" x14ac:dyDescent="0.25">
      <c r="A313"/>
      <c r="B313" s="6"/>
    </row>
    <row r="314" spans="1:2" s="5" customFormat="1" ht="30" customHeight="1" x14ac:dyDescent="0.25">
      <c r="A314"/>
      <c r="B314" s="6"/>
    </row>
    <row r="315" spans="1:2" s="5" customFormat="1" ht="30" customHeight="1" x14ac:dyDescent="0.25">
      <c r="A315"/>
      <c r="B315" s="6"/>
    </row>
    <row r="316" spans="1:2" s="5" customFormat="1" ht="30" customHeight="1" x14ac:dyDescent="0.25">
      <c r="A316"/>
      <c r="B316" s="6"/>
    </row>
    <row r="317" spans="1:2" s="5" customFormat="1" ht="30" customHeight="1" x14ac:dyDescent="0.25">
      <c r="A317"/>
      <c r="B317" s="6"/>
    </row>
    <row r="318" spans="1:2" s="5" customFormat="1" ht="30" customHeight="1" x14ac:dyDescent="0.25">
      <c r="A318"/>
      <c r="B318" s="6"/>
    </row>
    <row r="319" spans="1:2" s="5" customFormat="1" ht="30" customHeight="1" x14ac:dyDescent="0.25">
      <c r="A319"/>
      <c r="B319" s="6"/>
    </row>
    <row r="320" spans="1:2" s="5" customFormat="1" ht="30" customHeight="1" x14ac:dyDescent="0.25">
      <c r="A320"/>
      <c r="B320" s="6"/>
    </row>
    <row r="321" spans="1:2" s="5" customFormat="1" ht="30" customHeight="1" x14ac:dyDescent="0.25">
      <c r="A321"/>
      <c r="B321" s="6"/>
    </row>
    <row r="322" spans="1:2" s="5" customFormat="1" ht="30" customHeight="1" x14ac:dyDescent="0.25">
      <c r="A322"/>
      <c r="B322" s="6"/>
    </row>
    <row r="323" spans="1:2" s="5" customFormat="1" ht="30" customHeight="1" x14ac:dyDescent="0.25">
      <c r="A323"/>
      <c r="B323" s="6"/>
    </row>
  </sheetData>
  <mergeCells count="9">
    <mergeCell ref="M9:M10"/>
    <mergeCell ref="K2:L2"/>
    <mergeCell ref="B9:B10"/>
    <mergeCell ref="C9:C10"/>
    <mergeCell ref="D9:D10"/>
    <mergeCell ref="E9:E10"/>
    <mergeCell ref="F9:H9"/>
    <mergeCell ref="I9:K9"/>
    <mergeCell ref="L9:L10"/>
  </mergeCells>
  <conditionalFormatting sqref="D13:D17">
    <cfRule type="containsText" dxfId="15" priority="1" operator="containsText" text="U/R">
      <formula>NOT(ISERROR(SEARCH("U/R",D13)))</formula>
    </cfRule>
    <cfRule type="containsText" dxfId="14" priority="2" operator="containsText" text="C">
      <formula>NOT(ISERROR(SEARCH("C",D13)))</formula>
    </cfRule>
    <cfRule type="containsText" dxfId="13" priority="3" operator="containsText" text="B">
      <formula>NOT(ISERROR(SEARCH("B",D13)))</formula>
    </cfRule>
    <cfRule type="containsText" dxfId="12" priority="4" operator="containsText" text="A">
      <formula>NOT(ISERROR(SEARCH("A",D13)))</formula>
    </cfRule>
  </conditionalFormatting>
  <conditionalFormatting sqref="K13:K18 H13:H38">
    <cfRule type="containsText" dxfId="11" priority="13" operator="containsText" text="U/R">
      <formula>NOT(ISERROR(SEARCH("U/R",H13)))</formula>
    </cfRule>
    <cfRule type="containsText" dxfId="10" priority="14" operator="containsText" text="C">
      <formula>NOT(ISERROR(SEARCH("C",H13)))</formula>
    </cfRule>
    <cfRule type="containsText" dxfId="9" priority="15" operator="containsText" text="B">
      <formula>NOT(ISERROR(SEARCH("B",H13)))</formula>
    </cfRule>
    <cfRule type="containsText" dxfId="8" priority="16" operator="containsText" text="A">
      <formula>NOT(ISERROR(SEARCH("A",H13)))</formula>
    </cfRule>
  </conditionalFormatting>
  <dataValidations count="1">
    <dataValidation type="list" allowBlank="1" showInputMessage="1" showErrorMessage="1" sqref="D11:D1048576" xr:uid="{029A49C1-A1BE-49B6-856B-B8148E91BA30}">
      <formula1>"A, B, C, U/R, Infor."</formula1>
    </dataValidation>
  </dataValidations>
  <pageMargins left="0.7" right="0.7" top="0.75" bottom="0.75" header="0.3" footer="0.3"/>
  <pageSetup paperSize="8" scale="78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F718-B22A-4656-A9AC-2C9ABC768430}">
  <sheetPr codeName="Sheet5">
    <pageSetUpPr fitToPage="1"/>
  </sheetPr>
  <dimension ref="A1:R324"/>
  <sheetViews>
    <sheetView view="pageBreakPreview" zoomScale="85" zoomScaleNormal="100" zoomScaleSheetLayoutView="85" workbookViewId="0">
      <pane xSplit="4" ySplit="11" topLeftCell="E12" activePane="bottomRight" state="frozen"/>
      <selection pane="topRight" activeCell="F1" sqref="F1"/>
      <selection pane="bottomLeft" activeCell="A10" sqref="A10"/>
      <selection pane="bottomRight" activeCell="I28" sqref="I28"/>
    </sheetView>
  </sheetViews>
  <sheetFormatPr defaultRowHeight="30" customHeight="1" x14ac:dyDescent="0.25"/>
  <cols>
    <col min="1" max="1" width="1.85546875" customWidth="1"/>
    <col min="2" max="2" width="13.5703125" style="5" customWidth="1"/>
    <col min="3" max="3" width="83.85546875" style="5" customWidth="1"/>
    <col min="4" max="6" width="12.7109375" style="5" customWidth="1"/>
    <col min="7" max="7" width="10.7109375" style="5" customWidth="1"/>
    <col min="8" max="9" width="12.7109375" style="5" customWidth="1"/>
    <col min="10" max="10" width="10.7109375" style="5" customWidth="1"/>
    <col min="11" max="12" width="12.7109375" style="5" customWidth="1"/>
    <col min="13" max="13" width="10.7109375" style="5" customWidth="1"/>
    <col min="14" max="15" width="12.7109375" style="5" customWidth="1"/>
    <col min="16" max="16" width="10.7109375" style="5" customWidth="1"/>
    <col min="17" max="18" width="24.7109375" style="5" customWidth="1"/>
  </cols>
  <sheetData>
    <row r="1" spans="1:18" ht="77.25" customHeight="1" x14ac:dyDescent="0.25">
      <c r="A1" s="89"/>
      <c r="B1" s="108"/>
      <c r="C1" s="77"/>
      <c r="D1" s="77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110"/>
      <c r="R1" s="79"/>
    </row>
    <row r="2" spans="1:18" ht="21.95" customHeight="1" x14ac:dyDescent="0.25">
      <c r="A2" s="89"/>
      <c r="B2" s="82" t="s">
        <v>197</v>
      </c>
      <c r="C2" s="83" t="s">
        <v>198</v>
      </c>
      <c r="D2" s="74"/>
      <c r="E2" s="109"/>
      <c r="F2" s="75"/>
      <c r="G2" s="74"/>
      <c r="H2" s="109"/>
      <c r="I2" s="75"/>
      <c r="J2" s="74"/>
      <c r="K2" s="109"/>
      <c r="L2" s="75"/>
      <c r="M2" s="74"/>
      <c r="N2" s="75"/>
      <c r="O2" s="75"/>
      <c r="P2" s="263"/>
      <c r="Q2" s="263"/>
      <c r="R2" s="80"/>
    </row>
    <row r="3" spans="1:18" ht="21.95" customHeight="1" x14ac:dyDescent="0.25">
      <c r="A3" s="89"/>
      <c r="B3" s="82" t="s">
        <v>192</v>
      </c>
      <c r="C3" s="82" t="s">
        <v>236</v>
      </c>
      <c r="D3" s="74"/>
      <c r="E3" s="75"/>
      <c r="F3" s="75"/>
      <c r="G3" s="78"/>
      <c r="H3" s="75"/>
      <c r="I3" s="75"/>
      <c r="J3" s="78"/>
      <c r="K3" s="75"/>
      <c r="L3" s="75"/>
      <c r="M3" s="78"/>
      <c r="N3" s="75"/>
      <c r="O3" s="75"/>
      <c r="P3" s="84" t="e">
        <f>COUNTIF($D$12:$D$1048576,"A")/$P$7</f>
        <v>#DIV/0!</v>
      </c>
      <c r="Q3" s="7" t="s">
        <v>8</v>
      </c>
      <c r="R3" s="87" t="s">
        <v>12</v>
      </c>
    </row>
    <row r="4" spans="1:18" ht="21.95" customHeight="1" x14ac:dyDescent="0.25">
      <c r="A4" s="89"/>
      <c r="B4" s="82" t="s">
        <v>193</v>
      </c>
      <c r="C4" s="91" t="s">
        <v>199</v>
      </c>
      <c r="D4" s="79"/>
      <c r="E4" s="75"/>
      <c r="F4" s="75"/>
      <c r="G4" s="78"/>
      <c r="H4" s="75"/>
      <c r="I4" s="75"/>
      <c r="J4" s="78"/>
      <c r="K4" s="75"/>
      <c r="L4" s="75"/>
      <c r="M4" s="78"/>
      <c r="N4" s="75"/>
      <c r="O4" s="75"/>
      <c r="P4" s="84" t="e">
        <f>COUNTIF($D$12:$D$1048576,"B")/$P$7</f>
        <v>#DIV/0!</v>
      </c>
      <c r="Q4" s="48" t="s">
        <v>9</v>
      </c>
      <c r="R4" s="87" t="s">
        <v>13</v>
      </c>
    </row>
    <row r="5" spans="1:18" ht="21.95" customHeight="1" x14ac:dyDescent="0.25">
      <c r="A5" s="89"/>
      <c r="B5" s="82" t="s">
        <v>196</v>
      </c>
      <c r="C5" s="91" t="s">
        <v>200</v>
      </c>
      <c r="D5" s="74"/>
      <c r="E5" s="75"/>
      <c r="F5" s="75"/>
      <c r="G5" s="78"/>
      <c r="H5" s="75"/>
      <c r="I5" s="75"/>
      <c r="J5" s="78"/>
      <c r="K5" s="75"/>
      <c r="L5" s="75"/>
      <c r="M5" s="78"/>
      <c r="N5" s="75"/>
      <c r="O5" s="75"/>
      <c r="P5" s="85" t="e">
        <f>COUNTIF($D$12:$D$1048576,"C")/$P$7</f>
        <v>#DIV/0!</v>
      </c>
      <c r="Q5" s="35" t="s">
        <v>10</v>
      </c>
      <c r="R5" s="87" t="s">
        <v>23</v>
      </c>
    </row>
    <row r="6" spans="1:18" ht="21.95" customHeight="1" x14ac:dyDescent="0.25">
      <c r="A6" s="89"/>
      <c r="B6" s="91" t="s">
        <v>195</v>
      </c>
      <c r="C6" s="82" t="s">
        <v>201</v>
      </c>
      <c r="D6" s="74"/>
      <c r="E6" s="75"/>
      <c r="F6" s="75"/>
      <c r="G6" s="78"/>
      <c r="H6" s="75"/>
      <c r="I6" s="75"/>
      <c r="J6" s="78"/>
      <c r="K6" s="75"/>
      <c r="L6" s="75"/>
      <c r="M6" s="78"/>
      <c r="N6" s="75"/>
      <c r="O6" s="75"/>
      <c r="P6" s="85" t="e">
        <f>COUNTIF($D$12:$D$1048576,"U/R")/$P$7</f>
        <v>#DIV/0!</v>
      </c>
      <c r="Q6" s="52" t="s">
        <v>11</v>
      </c>
      <c r="R6" s="87" t="s">
        <v>112</v>
      </c>
    </row>
    <row r="7" spans="1:18" ht="21.95" customHeight="1" x14ac:dyDescent="0.25">
      <c r="A7" s="89"/>
      <c r="B7" s="91" t="s">
        <v>194</v>
      </c>
      <c r="C7" s="94">
        <f ca="1">TODAY()</f>
        <v>45708</v>
      </c>
      <c r="D7" s="74"/>
      <c r="E7" s="75"/>
      <c r="F7" s="75"/>
      <c r="G7" s="81"/>
      <c r="H7" s="75"/>
      <c r="I7" s="75"/>
      <c r="J7" s="81"/>
      <c r="K7" s="75"/>
      <c r="L7" s="75"/>
      <c r="M7" s="81"/>
      <c r="N7" s="75"/>
      <c r="O7" s="75"/>
      <c r="P7" s="86">
        <f>COUNT($B$12:$B$1048576)</f>
        <v>0</v>
      </c>
      <c r="Q7" s="88" t="s">
        <v>141</v>
      </c>
      <c r="R7" s="87" t="s">
        <v>142</v>
      </c>
    </row>
    <row r="8" spans="1:18" ht="15.75" thickBot="1" x14ac:dyDescent="0.3">
      <c r="A8" s="89"/>
      <c r="B8" s="75"/>
      <c r="C8" s="75"/>
      <c r="D8" s="75"/>
      <c r="E8" s="75"/>
      <c r="F8" s="75"/>
      <c r="G8" s="81"/>
      <c r="H8" s="75"/>
      <c r="I8" s="75"/>
      <c r="J8" s="81"/>
      <c r="K8" s="75"/>
      <c r="L8" s="75"/>
      <c r="M8" s="81"/>
      <c r="N8" s="75"/>
      <c r="O8" s="75"/>
      <c r="P8" s="53"/>
      <c r="Q8" s="6"/>
      <c r="R8" s="34"/>
    </row>
    <row r="9" spans="1:18" s="36" customFormat="1" ht="20.100000000000001" customHeight="1" x14ac:dyDescent="0.25">
      <c r="B9" s="272" t="s">
        <v>2</v>
      </c>
      <c r="C9" s="275" t="s">
        <v>228</v>
      </c>
      <c r="D9" s="294" t="s">
        <v>95</v>
      </c>
      <c r="E9" s="246" t="s">
        <v>34</v>
      </c>
      <c r="F9" s="247"/>
      <c r="G9" s="247"/>
      <c r="H9" s="247"/>
      <c r="I9" s="247"/>
      <c r="J9" s="248"/>
      <c r="K9" s="246" t="s">
        <v>35</v>
      </c>
      <c r="L9" s="247"/>
      <c r="M9" s="247"/>
      <c r="N9" s="247"/>
      <c r="O9" s="247"/>
      <c r="P9" s="248"/>
      <c r="Q9" s="259" t="s">
        <v>6</v>
      </c>
      <c r="R9" s="249" t="s">
        <v>7</v>
      </c>
    </row>
    <row r="10" spans="1:18" s="36" customFormat="1" ht="20.100000000000001" customHeight="1" x14ac:dyDescent="0.25">
      <c r="B10" s="273"/>
      <c r="C10" s="276"/>
      <c r="D10" s="296"/>
      <c r="E10" s="290" t="s">
        <v>237</v>
      </c>
      <c r="F10" s="291"/>
      <c r="G10" s="292"/>
      <c r="H10" s="290" t="s">
        <v>238</v>
      </c>
      <c r="I10" s="291"/>
      <c r="J10" s="292"/>
      <c r="K10" s="290" t="s">
        <v>237</v>
      </c>
      <c r="L10" s="291"/>
      <c r="M10" s="292"/>
      <c r="N10" s="290" t="s">
        <v>238</v>
      </c>
      <c r="O10" s="291"/>
      <c r="P10" s="292"/>
      <c r="Q10" s="273"/>
      <c r="R10" s="297"/>
    </row>
    <row r="11" spans="1:18" ht="41.25" customHeight="1" thickBot="1" x14ac:dyDescent="0.3">
      <c r="B11" s="274"/>
      <c r="C11" s="277"/>
      <c r="D11" s="295"/>
      <c r="E11" s="51" t="s">
        <v>234</v>
      </c>
      <c r="F11" s="46" t="s">
        <v>17</v>
      </c>
      <c r="G11" s="65" t="s">
        <v>5</v>
      </c>
      <c r="H11" s="51" t="s">
        <v>234</v>
      </c>
      <c r="I11" s="46" t="s">
        <v>17</v>
      </c>
      <c r="J11" s="65" t="s">
        <v>5</v>
      </c>
      <c r="K11" s="51" t="s">
        <v>234</v>
      </c>
      <c r="L11" s="46" t="s">
        <v>17</v>
      </c>
      <c r="M11" s="65" t="s">
        <v>5</v>
      </c>
      <c r="N11" s="51" t="s">
        <v>234</v>
      </c>
      <c r="O11" s="46" t="s">
        <v>17</v>
      </c>
      <c r="P11" s="40" t="s">
        <v>5</v>
      </c>
      <c r="Q11" s="260"/>
      <c r="R11" s="250"/>
    </row>
    <row r="12" spans="1:18" ht="20.100000000000001" customHeight="1" x14ac:dyDescent="0.25">
      <c r="B12" s="118" t="s">
        <v>8</v>
      </c>
      <c r="C12" s="96" t="s">
        <v>235</v>
      </c>
      <c r="D12" s="13"/>
      <c r="E12" s="13"/>
      <c r="F12" s="13"/>
      <c r="G12" s="12"/>
      <c r="H12" s="13"/>
      <c r="I12" s="13"/>
      <c r="J12" s="12"/>
      <c r="K12" s="13"/>
      <c r="L12" s="13"/>
      <c r="M12" s="12"/>
      <c r="N12" s="13"/>
      <c r="O12" s="13"/>
      <c r="P12" s="12"/>
      <c r="Q12" s="13"/>
      <c r="R12" s="14"/>
    </row>
    <row r="13" spans="1:18" ht="20.100000000000001" customHeight="1" x14ac:dyDescent="0.25">
      <c r="B13" s="114"/>
      <c r="C13" s="100"/>
      <c r="D13" s="115"/>
      <c r="E13" s="115"/>
      <c r="F13" s="115"/>
      <c r="G13" s="116"/>
      <c r="H13" s="115"/>
      <c r="I13" s="115"/>
      <c r="J13" s="116"/>
      <c r="K13" s="115"/>
      <c r="L13" s="115"/>
      <c r="M13" s="116"/>
      <c r="N13" s="115"/>
      <c r="O13" s="115"/>
      <c r="P13" s="116"/>
      <c r="Q13" s="115"/>
      <c r="R13" s="117"/>
    </row>
    <row r="14" spans="1:18" ht="20.100000000000001" customHeight="1" x14ac:dyDescent="0.25">
      <c r="A14" s="8"/>
      <c r="B14" s="15"/>
      <c r="C14" s="33"/>
      <c r="D14" s="23"/>
      <c r="E14" s="26"/>
      <c r="F14" s="26"/>
      <c r="G14" s="23"/>
      <c r="H14" s="26"/>
      <c r="I14" s="26"/>
      <c r="J14" s="23"/>
      <c r="K14" s="26"/>
      <c r="L14" s="26"/>
      <c r="M14" s="23"/>
      <c r="N14" s="23"/>
      <c r="O14" s="23"/>
      <c r="P14" s="23"/>
      <c r="Q14" s="21"/>
      <c r="R14" s="43"/>
    </row>
    <row r="15" spans="1:18" ht="20.100000000000001" customHeight="1" x14ac:dyDescent="0.25">
      <c r="B15" s="119"/>
      <c r="C15" s="101"/>
      <c r="D15" s="59"/>
      <c r="E15" s="60"/>
      <c r="F15" s="60"/>
      <c r="G15" s="59"/>
      <c r="H15" s="60"/>
      <c r="I15" s="60"/>
      <c r="J15" s="59"/>
      <c r="K15" s="60"/>
      <c r="L15" s="60"/>
      <c r="M15" s="59"/>
      <c r="N15" s="59"/>
      <c r="O15" s="59"/>
      <c r="P15" s="59"/>
      <c r="Q15" s="61"/>
      <c r="R15" s="102"/>
    </row>
    <row r="16" spans="1:18" ht="20.100000000000001" customHeight="1" x14ac:dyDescent="0.25">
      <c r="A16" s="8"/>
      <c r="B16" s="15"/>
      <c r="C16" s="33"/>
      <c r="D16" s="23"/>
      <c r="E16" s="26"/>
      <c r="F16" s="26"/>
      <c r="G16" s="23"/>
      <c r="H16" s="26"/>
      <c r="I16" s="26"/>
      <c r="J16" s="23"/>
      <c r="K16" s="26"/>
      <c r="L16" s="26"/>
      <c r="M16" s="23"/>
      <c r="N16" s="23"/>
      <c r="O16" s="23"/>
      <c r="P16" s="23"/>
      <c r="Q16" s="21"/>
      <c r="R16" s="43"/>
    </row>
    <row r="17" spans="1:18" ht="20.100000000000001" customHeight="1" x14ac:dyDescent="0.25">
      <c r="A17" s="8"/>
      <c r="B17" s="15"/>
      <c r="C17" s="33"/>
      <c r="D17" s="23"/>
      <c r="E17" s="26"/>
      <c r="F17" s="26"/>
      <c r="G17" s="23"/>
      <c r="H17" s="26"/>
      <c r="I17" s="26"/>
      <c r="J17" s="23"/>
      <c r="K17" s="26"/>
      <c r="L17" s="26"/>
      <c r="M17" s="23"/>
      <c r="N17" s="23"/>
      <c r="O17" s="23"/>
      <c r="P17" s="23"/>
      <c r="Q17" s="21"/>
      <c r="R17" s="43"/>
    </row>
    <row r="18" spans="1:18" ht="20.100000000000001" customHeight="1" x14ac:dyDescent="0.25">
      <c r="A18" s="8"/>
      <c r="B18" s="15"/>
      <c r="C18" s="33"/>
      <c r="D18" s="23"/>
      <c r="E18" s="26"/>
      <c r="F18" s="26"/>
      <c r="G18" s="23"/>
      <c r="H18" s="26"/>
      <c r="I18" s="26"/>
      <c r="J18" s="23"/>
      <c r="K18" s="26"/>
      <c r="L18" s="26"/>
      <c r="M18" s="23"/>
      <c r="N18" s="26"/>
      <c r="O18" s="26"/>
      <c r="P18" s="23"/>
      <c r="Q18" s="21"/>
      <c r="R18" s="43"/>
    </row>
    <row r="19" spans="1:18" ht="20.100000000000001" customHeight="1" x14ac:dyDescent="0.25">
      <c r="A19" s="8"/>
      <c r="B19" s="15"/>
      <c r="C19" s="25"/>
      <c r="D19" s="23"/>
      <c r="E19" s="26"/>
      <c r="F19" s="26"/>
      <c r="G19" s="23"/>
      <c r="H19" s="26"/>
      <c r="I19" s="26"/>
      <c r="J19" s="23"/>
      <c r="K19" s="26"/>
      <c r="L19" s="26"/>
      <c r="M19" s="23"/>
      <c r="N19" s="23"/>
      <c r="O19" s="23"/>
      <c r="P19" s="23"/>
      <c r="Q19" s="21"/>
      <c r="R19" s="43"/>
    </row>
    <row r="20" spans="1:18" ht="20.100000000000001" customHeight="1" thickBot="1" x14ac:dyDescent="0.3">
      <c r="B20" s="16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9"/>
      <c r="R20" s="20"/>
    </row>
    <row r="21" spans="1:18" ht="30" customHeight="1" x14ac:dyDescent="0.25">
      <c r="B21" s="9"/>
      <c r="C21" s="10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1"/>
      <c r="R21" s="1"/>
    </row>
    <row r="22" spans="1:18" ht="30" customHeight="1" x14ac:dyDescent="0.25">
      <c r="B22" s="11"/>
      <c r="C22" s="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1"/>
      <c r="R22" s="1"/>
    </row>
    <row r="23" spans="1:18" ht="30" customHeight="1" x14ac:dyDescent="0.25">
      <c r="B23" s="9"/>
      <c r="C23" s="1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1"/>
      <c r="R23" s="1"/>
    </row>
    <row r="24" spans="1:18" ht="30" customHeight="1" x14ac:dyDescent="0.25">
      <c r="B24" s="9"/>
      <c r="C24" s="1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"/>
      <c r="R24" s="1"/>
    </row>
    <row r="25" spans="1:18" ht="30" customHeight="1" x14ac:dyDescent="0.25">
      <c r="B25" s="9"/>
      <c r="C25" s="1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1"/>
      <c r="R25" s="1"/>
    </row>
    <row r="26" spans="1:18" ht="30" customHeight="1" x14ac:dyDescent="0.25">
      <c r="B26" s="11"/>
      <c r="C26" s="2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1"/>
      <c r="R26" s="1"/>
    </row>
    <row r="27" spans="1:18" ht="30" customHeight="1" x14ac:dyDescent="0.25">
      <c r="B27" s="9"/>
      <c r="C27" s="1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1"/>
      <c r="R27" s="1"/>
    </row>
    <row r="28" spans="1:18" ht="30" customHeight="1" x14ac:dyDescent="0.25">
      <c r="B28" s="9"/>
      <c r="C28" s="10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1"/>
      <c r="R28" s="1"/>
    </row>
    <row r="29" spans="1:18" ht="30" customHeight="1" x14ac:dyDescent="0.25">
      <c r="B29" s="9"/>
      <c r="C29" s="1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1"/>
      <c r="R29" s="1"/>
    </row>
    <row r="30" spans="1:18" ht="30" customHeight="1" x14ac:dyDescent="0.25">
      <c r="B30" s="11"/>
      <c r="C30" s="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1"/>
      <c r="R30" s="1"/>
    </row>
    <row r="31" spans="1:18" ht="30" customHeight="1" x14ac:dyDescent="0.25">
      <c r="B31" s="9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1"/>
      <c r="R31" s="1"/>
    </row>
    <row r="32" spans="1:18" ht="30" customHeight="1" x14ac:dyDescent="0.25">
      <c r="B32" s="9"/>
      <c r="C32" s="10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1"/>
      <c r="R32" s="1"/>
    </row>
    <row r="33" spans="2:18" ht="30" customHeight="1" x14ac:dyDescent="0.25">
      <c r="B33" s="9"/>
      <c r="C33" s="1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1"/>
      <c r="R33" s="1"/>
    </row>
    <row r="34" spans="2:18" ht="30" customHeight="1" x14ac:dyDescent="0.25">
      <c r="B34" s="11"/>
      <c r="C34" s="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1"/>
      <c r="R34" s="1"/>
    </row>
    <row r="35" spans="2:18" ht="30" customHeight="1" x14ac:dyDescent="0.25">
      <c r="B35" s="9"/>
      <c r="C35" s="10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1"/>
      <c r="R35" s="1"/>
    </row>
    <row r="36" spans="2:18" ht="30" customHeight="1" x14ac:dyDescent="0.25">
      <c r="B36" s="9"/>
      <c r="C36" s="10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1"/>
      <c r="R36" s="1"/>
    </row>
    <row r="37" spans="2:18" ht="30" customHeight="1" x14ac:dyDescent="0.25">
      <c r="B37" s="9"/>
      <c r="C37" s="10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1"/>
      <c r="R37" s="1"/>
    </row>
    <row r="38" spans="2:18" ht="30" customHeight="1" x14ac:dyDescent="0.25">
      <c r="B38" s="11"/>
      <c r="C38" s="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1"/>
      <c r="R38" s="1"/>
    </row>
    <row r="39" spans="2:18" ht="30" customHeight="1" x14ac:dyDescent="0.25">
      <c r="B39" s="9" t="str">
        <f>IF(C39="","",MAX($B$9:B38)+1)</f>
        <v/>
      </c>
      <c r="C39" s="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1"/>
      <c r="R39" s="1"/>
    </row>
    <row r="40" spans="2:18" ht="30" customHeight="1" x14ac:dyDescent="0.25"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2:18" ht="30" customHeight="1" x14ac:dyDescent="0.25"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 ht="30" customHeight="1" x14ac:dyDescent="0.25">
      <c r="B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18" ht="30" customHeight="1" x14ac:dyDescent="0.25"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ht="30" customHeight="1" x14ac:dyDescent="0.25"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ht="30" customHeight="1" x14ac:dyDescent="0.25"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ht="30" customHeight="1" x14ac:dyDescent="0.25"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ht="30" customHeight="1" x14ac:dyDescent="0.25"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ht="30" customHeight="1" x14ac:dyDescent="0.25"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ht="30" customHeight="1" x14ac:dyDescent="0.25">
      <c r="B49" s="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ht="30" customHeight="1" x14ac:dyDescent="0.25"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ht="30" customHeight="1" x14ac:dyDescent="0.25">
      <c r="B51" s="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ht="30" customHeight="1" x14ac:dyDescent="0.25">
      <c r="B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ht="30" customHeight="1" x14ac:dyDescent="0.25">
      <c r="B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ht="30" customHeight="1" x14ac:dyDescent="0.25"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ht="30" customHeight="1" x14ac:dyDescent="0.25"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ht="30" customHeight="1" x14ac:dyDescent="0.25">
      <c r="B56" s="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ht="30" customHeight="1" x14ac:dyDescent="0.25"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ht="30" customHeight="1" x14ac:dyDescent="0.25"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ht="30" customHeight="1" x14ac:dyDescent="0.25"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ht="30" customHeight="1" x14ac:dyDescent="0.25"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ht="30" customHeight="1" x14ac:dyDescent="0.25">
      <c r="B61" s="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ht="30" customHeight="1" x14ac:dyDescent="0.25"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ht="30" customHeight="1" x14ac:dyDescent="0.25"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ht="30" customHeight="1" x14ac:dyDescent="0.25">
      <c r="B64" s="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30" customHeight="1" x14ac:dyDescent="0.25"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30" customHeight="1" x14ac:dyDescent="0.25">
      <c r="B66" s="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30" customHeight="1" x14ac:dyDescent="0.25">
      <c r="B67" s="6"/>
    </row>
    <row r="68" spans="1:18" ht="30" customHeight="1" x14ac:dyDescent="0.25">
      <c r="B68" s="6"/>
    </row>
    <row r="69" spans="1:18" ht="30" customHeight="1" x14ac:dyDescent="0.25">
      <c r="B69" s="6"/>
    </row>
    <row r="70" spans="1:18" s="5" customFormat="1" ht="30" customHeight="1" x14ac:dyDescent="0.25">
      <c r="A70"/>
      <c r="B70" s="6"/>
    </row>
    <row r="71" spans="1:18" s="5" customFormat="1" ht="30" customHeight="1" x14ac:dyDescent="0.25">
      <c r="A71"/>
      <c r="B71" s="6"/>
    </row>
    <row r="72" spans="1:18" s="5" customFormat="1" ht="30" customHeight="1" x14ac:dyDescent="0.25">
      <c r="A72"/>
      <c r="B72" s="6"/>
    </row>
    <row r="73" spans="1:18" s="5" customFormat="1" ht="30" customHeight="1" x14ac:dyDescent="0.25">
      <c r="A73"/>
      <c r="B73" s="6"/>
    </row>
    <row r="74" spans="1:18" s="5" customFormat="1" ht="30" customHeight="1" x14ac:dyDescent="0.25">
      <c r="A74"/>
      <c r="B74" s="6"/>
    </row>
    <row r="75" spans="1:18" s="5" customFormat="1" ht="30" customHeight="1" x14ac:dyDescent="0.25">
      <c r="A75"/>
      <c r="B75" s="6"/>
    </row>
    <row r="76" spans="1:18" s="5" customFormat="1" ht="30" customHeight="1" x14ac:dyDescent="0.25">
      <c r="A76"/>
      <c r="B76" s="6"/>
    </row>
    <row r="77" spans="1:18" s="5" customFormat="1" ht="30" customHeight="1" x14ac:dyDescent="0.25">
      <c r="A77"/>
      <c r="B77" s="6"/>
    </row>
    <row r="78" spans="1:18" s="5" customFormat="1" ht="30" customHeight="1" x14ac:dyDescent="0.25">
      <c r="A78"/>
      <c r="B78" s="6"/>
    </row>
    <row r="79" spans="1:18" s="5" customFormat="1" ht="30" customHeight="1" x14ac:dyDescent="0.25">
      <c r="A79"/>
      <c r="B79" s="6"/>
    </row>
    <row r="80" spans="1:18" s="5" customFormat="1" ht="30" customHeight="1" x14ac:dyDescent="0.25">
      <c r="A80"/>
      <c r="B80" s="6"/>
    </row>
    <row r="81" spans="1:2" s="5" customFormat="1" ht="30" customHeight="1" x14ac:dyDescent="0.25">
      <c r="A81"/>
      <c r="B81" s="6"/>
    </row>
    <row r="82" spans="1:2" s="5" customFormat="1" ht="30" customHeight="1" x14ac:dyDescent="0.25">
      <c r="A82"/>
      <c r="B82" s="6"/>
    </row>
    <row r="83" spans="1:2" s="5" customFormat="1" ht="30" customHeight="1" x14ac:dyDescent="0.25">
      <c r="A83"/>
      <c r="B83" s="6"/>
    </row>
    <row r="84" spans="1:2" s="5" customFormat="1" ht="30" customHeight="1" x14ac:dyDescent="0.25">
      <c r="A84"/>
      <c r="B84" s="6"/>
    </row>
    <row r="85" spans="1:2" s="5" customFormat="1" ht="30" customHeight="1" x14ac:dyDescent="0.25">
      <c r="A85"/>
      <c r="B85" s="6"/>
    </row>
    <row r="86" spans="1:2" s="5" customFormat="1" ht="30" customHeight="1" x14ac:dyDescent="0.25">
      <c r="A86"/>
      <c r="B86" s="6"/>
    </row>
    <row r="87" spans="1:2" s="5" customFormat="1" ht="30" customHeight="1" x14ac:dyDescent="0.25">
      <c r="A87"/>
      <c r="B87" s="6"/>
    </row>
    <row r="88" spans="1:2" s="5" customFormat="1" ht="30" customHeight="1" x14ac:dyDescent="0.25">
      <c r="A88"/>
      <c r="B88" s="6"/>
    </row>
    <row r="89" spans="1:2" s="5" customFormat="1" ht="30" customHeight="1" x14ac:dyDescent="0.25">
      <c r="A89"/>
      <c r="B89" s="6"/>
    </row>
    <row r="90" spans="1:2" s="5" customFormat="1" ht="30" customHeight="1" x14ac:dyDescent="0.25">
      <c r="A90"/>
      <c r="B90" s="6"/>
    </row>
    <row r="91" spans="1:2" s="5" customFormat="1" ht="30" customHeight="1" x14ac:dyDescent="0.25">
      <c r="A91"/>
      <c r="B91" s="6"/>
    </row>
    <row r="92" spans="1:2" s="5" customFormat="1" ht="30" customHeight="1" x14ac:dyDescent="0.25">
      <c r="A92"/>
      <c r="B92" s="6"/>
    </row>
    <row r="93" spans="1:2" s="5" customFormat="1" ht="30" customHeight="1" x14ac:dyDescent="0.25">
      <c r="A93"/>
      <c r="B93" s="6"/>
    </row>
    <row r="94" spans="1:2" s="5" customFormat="1" ht="30" customHeight="1" x14ac:dyDescent="0.25">
      <c r="A94"/>
      <c r="B94" s="6"/>
    </row>
    <row r="95" spans="1:2" s="5" customFormat="1" ht="30" customHeight="1" x14ac:dyDescent="0.25">
      <c r="A95"/>
      <c r="B95" s="6"/>
    </row>
    <row r="96" spans="1:2" s="5" customFormat="1" ht="30" customHeight="1" x14ac:dyDescent="0.25">
      <c r="A96"/>
      <c r="B96" s="6"/>
    </row>
    <row r="97" spans="1:2" s="5" customFormat="1" ht="30" customHeight="1" x14ac:dyDescent="0.25">
      <c r="A97"/>
      <c r="B97" s="6"/>
    </row>
    <row r="98" spans="1:2" s="5" customFormat="1" ht="30" customHeight="1" x14ac:dyDescent="0.25">
      <c r="A98"/>
      <c r="B98" s="6"/>
    </row>
    <row r="99" spans="1:2" s="5" customFormat="1" ht="30" customHeight="1" x14ac:dyDescent="0.25">
      <c r="A99"/>
      <c r="B99" s="6"/>
    </row>
    <row r="100" spans="1:2" s="5" customFormat="1" ht="30" customHeight="1" x14ac:dyDescent="0.25">
      <c r="A100"/>
      <c r="B100" s="6"/>
    </row>
    <row r="101" spans="1:2" s="5" customFormat="1" ht="30" customHeight="1" x14ac:dyDescent="0.25">
      <c r="A101"/>
      <c r="B101" s="6"/>
    </row>
    <row r="102" spans="1:2" s="5" customFormat="1" ht="30" customHeight="1" x14ac:dyDescent="0.25">
      <c r="A102"/>
      <c r="B102" s="6"/>
    </row>
    <row r="103" spans="1:2" s="5" customFormat="1" ht="30" customHeight="1" x14ac:dyDescent="0.25">
      <c r="A103"/>
      <c r="B103" s="6"/>
    </row>
    <row r="104" spans="1:2" s="5" customFormat="1" ht="30" customHeight="1" x14ac:dyDescent="0.25">
      <c r="A104"/>
      <c r="B104" s="6"/>
    </row>
    <row r="105" spans="1:2" s="5" customFormat="1" ht="30" customHeight="1" x14ac:dyDescent="0.25">
      <c r="A105"/>
      <c r="B105" s="6"/>
    </row>
    <row r="106" spans="1:2" s="5" customFormat="1" ht="30" customHeight="1" x14ac:dyDescent="0.25">
      <c r="A106"/>
      <c r="B106" s="6"/>
    </row>
    <row r="107" spans="1:2" s="5" customFormat="1" ht="30" customHeight="1" x14ac:dyDescent="0.25">
      <c r="A107"/>
      <c r="B107" s="6"/>
    </row>
    <row r="108" spans="1:2" s="5" customFormat="1" ht="30" customHeight="1" x14ac:dyDescent="0.25">
      <c r="A108"/>
      <c r="B108" s="6"/>
    </row>
    <row r="109" spans="1:2" s="5" customFormat="1" ht="30" customHeight="1" x14ac:dyDescent="0.25">
      <c r="A109"/>
      <c r="B109" s="6"/>
    </row>
    <row r="110" spans="1:2" s="5" customFormat="1" ht="30" customHeight="1" x14ac:dyDescent="0.25">
      <c r="A110"/>
      <c r="B110" s="6"/>
    </row>
    <row r="111" spans="1:2" s="5" customFormat="1" ht="30" customHeight="1" x14ac:dyDescent="0.25">
      <c r="A111"/>
      <c r="B111" s="6"/>
    </row>
    <row r="112" spans="1:2" s="5" customFormat="1" ht="30" customHeight="1" x14ac:dyDescent="0.25">
      <c r="A112"/>
      <c r="B112" s="6"/>
    </row>
    <row r="113" spans="1:2" s="5" customFormat="1" ht="30" customHeight="1" x14ac:dyDescent="0.25">
      <c r="A113"/>
      <c r="B113" s="6"/>
    </row>
    <row r="114" spans="1:2" s="5" customFormat="1" ht="30" customHeight="1" x14ac:dyDescent="0.25">
      <c r="A114"/>
      <c r="B114" s="6"/>
    </row>
    <row r="115" spans="1:2" s="5" customFormat="1" ht="30" customHeight="1" x14ac:dyDescent="0.25">
      <c r="A115"/>
      <c r="B115" s="6"/>
    </row>
    <row r="116" spans="1:2" s="5" customFormat="1" ht="30" customHeight="1" x14ac:dyDescent="0.25">
      <c r="A116"/>
      <c r="B116" s="6"/>
    </row>
    <row r="117" spans="1:2" s="5" customFormat="1" ht="30" customHeight="1" x14ac:dyDescent="0.25">
      <c r="A117"/>
      <c r="B117" s="6"/>
    </row>
    <row r="118" spans="1:2" s="5" customFormat="1" ht="30" customHeight="1" x14ac:dyDescent="0.25">
      <c r="A118"/>
      <c r="B118" s="6"/>
    </row>
    <row r="119" spans="1:2" s="5" customFormat="1" ht="30" customHeight="1" x14ac:dyDescent="0.25">
      <c r="A119"/>
      <c r="B119" s="6"/>
    </row>
    <row r="120" spans="1:2" s="5" customFormat="1" ht="30" customHeight="1" x14ac:dyDescent="0.25">
      <c r="A120"/>
      <c r="B120" s="6"/>
    </row>
    <row r="121" spans="1:2" s="5" customFormat="1" ht="30" customHeight="1" x14ac:dyDescent="0.25">
      <c r="A121"/>
      <c r="B121" s="6"/>
    </row>
    <row r="122" spans="1:2" s="5" customFormat="1" ht="30" customHeight="1" x14ac:dyDescent="0.25">
      <c r="A122"/>
      <c r="B122" s="6"/>
    </row>
    <row r="123" spans="1:2" s="5" customFormat="1" ht="30" customHeight="1" x14ac:dyDescent="0.25">
      <c r="A123"/>
      <c r="B123" s="6"/>
    </row>
    <row r="124" spans="1:2" s="5" customFormat="1" ht="30" customHeight="1" x14ac:dyDescent="0.25">
      <c r="A124"/>
      <c r="B124" s="6"/>
    </row>
    <row r="125" spans="1:2" s="5" customFormat="1" ht="30" customHeight="1" x14ac:dyDescent="0.25">
      <c r="A125"/>
      <c r="B125" s="6"/>
    </row>
    <row r="126" spans="1:2" s="5" customFormat="1" ht="30" customHeight="1" x14ac:dyDescent="0.25">
      <c r="A126"/>
      <c r="B126" s="6"/>
    </row>
    <row r="127" spans="1:2" s="5" customFormat="1" ht="30" customHeight="1" x14ac:dyDescent="0.25">
      <c r="A127"/>
      <c r="B127" s="6"/>
    </row>
    <row r="128" spans="1:2" s="5" customFormat="1" ht="30" customHeight="1" x14ac:dyDescent="0.25">
      <c r="A128"/>
      <c r="B128" s="6"/>
    </row>
    <row r="129" spans="1:2" s="5" customFormat="1" ht="30" customHeight="1" x14ac:dyDescent="0.25">
      <c r="A129"/>
      <c r="B129" s="6"/>
    </row>
    <row r="130" spans="1:2" s="5" customFormat="1" ht="30" customHeight="1" x14ac:dyDescent="0.25">
      <c r="A130"/>
      <c r="B130" s="6"/>
    </row>
    <row r="131" spans="1:2" s="5" customFormat="1" ht="30" customHeight="1" x14ac:dyDescent="0.25">
      <c r="A131"/>
      <c r="B131" s="6"/>
    </row>
    <row r="132" spans="1:2" s="5" customFormat="1" ht="30" customHeight="1" x14ac:dyDescent="0.25">
      <c r="A132"/>
      <c r="B132" s="6"/>
    </row>
    <row r="133" spans="1:2" s="5" customFormat="1" ht="30" customHeight="1" x14ac:dyDescent="0.25">
      <c r="A133"/>
      <c r="B133" s="6"/>
    </row>
    <row r="134" spans="1:2" s="5" customFormat="1" ht="30" customHeight="1" x14ac:dyDescent="0.25">
      <c r="A134"/>
      <c r="B134" s="6"/>
    </row>
    <row r="135" spans="1:2" s="5" customFormat="1" ht="30" customHeight="1" x14ac:dyDescent="0.25">
      <c r="A135"/>
      <c r="B135" s="6"/>
    </row>
    <row r="136" spans="1:2" s="5" customFormat="1" ht="30" customHeight="1" x14ac:dyDescent="0.25">
      <c r="A136"/>
      <c r="B136" s="6"/>
    </row>
    <row r="137" spans="1:2" s="5" customFormat="1" ht="30" customHeight="1" x14ac:dyDescent="0.25">
      <c r="A137"/>
      <c r="B137" s="6"/>
    </row>
    <row r="138" spans="1:2" s="5" customFormat="1" ht="30" customHeight="1" x14ac:dyDescent="0.25">
      <c r="A138"/>
      <c r="B138" s="6"/>
    </row>
    <row r="139" spans="1:2" s="5" customFormat="1" ht="30" customHeight="1" x14ac:dyDescent="0.25">
      <c r="A139"/>
      <c r="B139" s="6"/>
    </row>
    <row r="140" spans="1:2" s="5" customFormat="1" ht="30" customHeight="1" x14ac:dyDescent="0.25">
      <c r="A140"/>
      <c r="B140" s="6"/>
    </row>
    <row r="141" spans="1:2" s="5" customFormat="1" ht="30" customHeight="1" x14ac:dyDescent="0.25">
      <c r="A141"/>
      <c r="B141" s="6"/>
    </row>
    <row r="142" spans="1:2" s="5" customFormat="1" ht="30" customHeight="1" x14ac:dyDescent="0.25">
      <c r="A142"/>
      <c r="B142" s="6"/>
    </row>
    <row r="143" spans="1:2" s="5" customFormat="1" ht="30" customHeight="1" x14ac:dyDescent="0.25">
      <c r="A143"/>
      <c r="B143" s="6"/>
    </row>
    <row r="144" spans="1:2" s="5" customFormat="1" ht="30" customHeight="1" x14ac:dyDescent="0.25">
      <c r="A144"/>
      <c r="B144" s="6"/>
    </row>
    <row r="145" spans="1:2" s="5" customFormat="1" ht="30" customHeight="1" x14ac:dyDescent="0.25">
      <c r="A145"/>
      <c r="B145" s="6"/>
    </row>
    <row r="146" spans="1:2" s="5" customFormat="1" ht="30" customHeight="1" x14ac:dyDescent="0.25">
      <c r="A146"/>
      <c r="B146" s="6"/>
    </row>
    <row r="147" spans="1:2" s="5" customFormat="1" ht="30" customHeight="1" x14ac:dyDescent="0.25">
      <c r="A147"/>
      <c r="B147" s="6"/>
    </row>
    <row r="148" spans="1:2" s="5" customFormat="1" ht="30" customHeight="1" x14ac:dyDescent="0.25">
      <c r="A148"/>
      <c r="B148" s="6"/>
    </row>
    <row r="149" spans="1:2" s="5" customFormat="1" ht="30" customHeight="1" x14ac:dyDescent="0.25">
      <c r="A149"/>
      <c r="B149" s="6"/>
    </row>
    <row r="150" spans="1:2" s="5" customFormat="1" ht="30" customHeight="1" x14ac:dyDescent="0.25">
      <c r="A150"/>
      <c r="B150" s="6"/>
    </row>
    <row r="151" spans="1:2" s="5" customFormat="1" ht="30" customHeight="1" x14ac:dyDescent="0.25">
      <c r="A151"/>
      <c r="B151" s="6"/>
    </row>
    <row r="152" spans="1:2" s="5" customFormat="1" ht="30" customHeight="1" x14ac:dyDescent="0.25">
      <c r="A152"/>
      <c r="B152" s="6"/>
    </row>
    <row r="153" spans="1:2" s="5" customFormat="1" ht="30" customHeight="1" x14ac:dyDescent="0.25">
      <c r="A153"/>
      <c r="B153" s="6"/>
    </row>
    <row r="154" spans="1:2" s="5" customFormat="1" ht="30" customHeight="1" x14ac:dyDescent="0.25">
      <c r="A154"/>
      <c r="B154" s="6"/>
    </row>
    <row r="155" spans="1:2" s="5" customFormat="1" ht="30" customHeight="1" x14ac:dyDescent="0.25">
      <c r="A155"/>
      <c r="B155" s="6"/>
    </row>
    <row r="156" spans="1:2" s="5" customFormat="1" ht="30" customHeight="1" x14ac:dyDescent="0.25">
      <c r="A156"/>
      <c r="B156" s="6"/>
    </row>
    <row r="157" spans="1:2" s="5" customFormat="1" ht="30" customHeight="1" x14ac:dyDescent="0.25">
      <c r="A157"/>
      <c r="B157" s="6"/>
    </row>
    <row r="158" spans="1:2" s="5" customFormat="1" ht="30" customHeight="1" x14ac:dyDescent="0.25">
      <c r="A158"/>
      <c r="B158" s="6"/>
    </row>
    <row r="159" spans="1:2" s="5" customFormat="1" ht="30" customHeight="1" x14ac:dyDescent="0.25">
      <c r="A159"/>
      <c r="B159" s="6"/>
    </row>
    <row r="160" spans="1:2" s="5" customFormat="1" ht="30" customHeight="1" x14ac:dyDescent="0.25">
      <c r="A160"/>
      <c r="B160" s="6"/>
    </row>
    <row r="161" spans="1:2" s="5" customFormat="1" ht="30" customHeight="1" x14ac:dyDescent="0.25">
      <c r="A161"/>
      <c r="B161" s="6"/>
    </row>
    <row r="162" spans="1:2" s="5" customFormat="1" ht="30" customHeight="1" x14ac:dyDescent="0.25">
      <c r="A162"/>
      <c r="B162" s="6"/>
    </row>
    <row r="163" spans="1:2" s="5" customFormat="1" ht="30" customHeight="1" x14ac:dyDescent="0.25">
      <c r="A163"/>
      <c r="B163" s="6"/>
    </row>
    <row r="164" spans="1:2" s="5" customFormat="1" ht="30" customHeight="1" x14ac:dyDescent="0.25">
      <c r="A164"/>
      <c r="B164" s="6"/>
    </row>
    <row r="165" spans="1:2" s="5" customFormat="1" ht="30" customHeight="1" x14ac:dyDescent="0.25">
      <c r="A165"/>
      <c r="B165" s="6"/>
    </row>
    <row r="166" spans="1:2" s="5" customFormat="1" ht="30" customHeight="1" x14ac:dyDescent="0.25">
      <c r="A166"/>
      <c r="B166" s="6"/>
    </row>
    <row r="167" spans="1:2" s="5" customFormat="1" ht="30" customHeight="1" x14ac:dyDescent="0.25">
      <c r="A167"/>
      <c r="B167" s="6"/>
    </row>
    <row r="168" spans="1:2" s="5" customFormat="1" ht="30" customHeight="1" x14ac:dyDescent="0.25">
      <c r="A168"/>
      <c r="B168" s="6"/>
    </row>
    <row r="169" spans="1:2" s="5" customFormat="1" ht="30" customHeight="1" x14ac:dyDescent="0.25">
      <c r="A169"/>
      <c r="B169" s="6"/>
    </row>
    <row r="170" spans="1:2" s="5" customFormat="1" ht="30" customHeight="1" x14ac:dyDescent="0.25">
      <c r="A170"/>
      <c r="B170" s="6"/>
    </row>
    <row r="171" spans="1:2" s="5" customFormat="1" ht="30" customHeight="1" x14ac:dyDescent="0.25">
      <c r="A171"/>
      <c r="B171" s="6"/>
    </row>
    <row r="172" spans="1:2" s="5" customFormat="1" ht="30" customHeight="1" x14ac:dyDescent="0.25">
      <c r="A172"/>
      <c r="B172" s="6"/>
    </row>
    <row r="173" spans="1:2" s="5" customFormat="1" ht="30" customHeight="1" x14ac:dyDescent="0.25">
      <c r="A173"/>
      <c r="B173" s="6"/>
    </row>
    <row r="174" spans="1:2" s="5" customFormat="1" ht="30" customHeight="1" x14ac:dyDescent="0.25">
      <c r="A174"/>
      <c r="B174" s="6"/>
    </row>
    <row r="175" spans="1:2" s="5" customFormat="1" ht="30" customHeight="1" x14ac:dyDescent="0.25">
      <c r="A175"/>
      <c r="B175" s="6"/>
    </row>
    <row r="176" spans="1:2" s="5" customFormat="1" ht="30" customHeight="1" x14ac:dyDescent="0.25">
      <c r="A176"/>
      <c r="B176" s="6"/>
    </row>
    <row r="177" spans="1:2" s="5" customFormat="1" ht="30" customHeight="1" x14ac:dyDescent="0.25">
      <c r="A177"/>
      <c r="B177" s="6"/>
    </row>
    <row r="178" spans="1:2" s="5" customFormat="1" ht="30" customHeight="1" x14ac:dyDescent="0.25">
      <c r="A178"/>
      <c r="B178" s="6"/>
    </row>
    <row r="179" spans="1:2" s="5" customFormat="1" ht="30" customHeight="1" x14ac:dyDescent="0.25">
      <c r="A179"/>
      <c r="B179" s="6"/>
    </row>
    <row r="180" spans="1:2" s="5" customFormat="1" ht="30" customHeight="1" x14ac:dyDescent="0.25">
      <c r="A180"/>
      <c r="B180" s="6"/>
    </row>
    <row r="181" spans="1:2" s="5" customFormat="1" ht="30" customHeight="1" x14ac:dyDescent="0.25">
      <c r="A181"/>
      <c r="B181" s="6"/>
    </row>
    <row r="182" spans="1:2" s="5" customFormat="1" ht="30" customHeight="1" x14ac:dyDescent="0.25">
      <c r="A182"/>
      <c r="B182" s="6"/>
    </row>
    <row r="183" spans="1:2" s="5" customFormat="1" ht="30" customHeight="1" x14ac:dyDescent="0.25">
      <c r="A183"/>
      <c r="B183" s="6"/>
    </row>
    <row r="184" spans="1:2" s="5" customFormat="1" ht="30" customHeight="1" x14ac:dyDescent="0.25">
      <c r="A184"/>
      <c r="B184" s="6"/>
    </row>
    <row r="185" spans="1:2" s="5" customFormat="1" ht="30" customHeight="1" x14ac:dyDescent="0.25">
      <c r="A185"/>
      <c r="B185" s="6"/>
    </row>
    <row r="186" spans="1:2" s="5" customFormat="1" ht="30" customHeight="1" x14ac:dyDescent="0.25">
      <c r="A186"/>
      <c r="B186" s="6"/>
    </row>
    <row r="187" spans="1:2" s="5" customFormat="1" ht="30" customHeight="1" x14ac:dyDescent="0.25">
      <c r="A187"/>
      <c r="B187" s="6"/>
    </row>
    <row r="188" spans="1:2" s="5" customFormat="1" ht="30" customHeight="1" x14ac:dyDescent="0.25">
      <c r="A188"/>
      <c r="B188" s="6"/>
    </row>
    <row r="189" spans="1:2" s="5" customFormat="1" ht="30" customHeight="1" x14ac:dyDescent="0.25">
      <c r="A189"/>
      <c r="B189" s="6"/>
    </row>
    <row r="190" spans="1:2" s="5" customFormat="1" ht="30" customHeight="1" x14ac:dyDescent="0.25">
      <c r="A190"/>
      <c r="B190" s="6"/>
    </row>
    <row r="191" spans="1:2" s="5" customFormat="1" ht="30" customHeight="1" x14ac:dyDescent="0.25">
      <c r="A191"/>
      <c r="B191" s="6"/>
    </row>
    <row r="192" spans="1:2" s="5" customFormat="1" ht="30" customHeight="1" x14ac:dyDescent="0.25">
      <c r="A192"/>
      <c r="B192" s="6"/>
    </row>
    <row r="193" spans="1:2" s="5" customFormat="1" ht="30" customHeight="1" x14ac:dyDescent="0.25">
      <c r="A193"/>
      <c r="B193" s="6"/>
    </row>
    <row r="194" spans="1:2" s="5" customFormat="1" ht="30" customHeight="1" x14ac:dyDescent="0.25">
      <c r="A194"/>
      <c r="B194" s="6"/>
    </row>
    <row r="195" spans="1:2" s="5" customFormat="1" ht="30" customHeight="1" x14ac:dyDescent="0.25">
      <c r="A195"/>
      <c r="B195" s="6"/>
    </row>
    <row r="196" spans="1:2" s="5" customFormat="1" ht="30" customHeight="1" x14ac:dyDescent="0.25">
      <c r="A196"/>
      <c r="B196" s="6"/>
    </row>
    <row r="197" spans="1:2" s="5" customFormat="1" ht="30" customHeight="1" x14ac:dyDescent="0.25">
      <c r="A197"/>
      <c r="B197" s="6"/>
    </row>
    <row r="198" spans="1:2" s="5" customFormat="1" ht="30" customHeight="1" x14ac:dyDescent="0.25">
      <c r="A198"/>
      <c r="B198" s="6"/>
    </row>
    <row r="199" spans="1:2" s="5" customFormat="1" ht="30" customHeight="1" x14ac:dyDescent="0.25">
      <c r="A199"/>
      <c r="B199" s="6"/>
    </row>
    <row r="200" spans="1:2" s="5" customFormat="1" ht="30" customHeight="1" x14ac:dyDescent="0.25">
      <c r="A200"/>
      <c r="B200" s="6"/>
    </row>
    <row r="201" spans="1:2" s="5" customFormat="1" ht="30" customHeight="1" x14ac:dyDescent="0.25">
      <c r="A201"/>
      <c r="B201" s="6"/>
    </row>
    <row r="202" spans="1:2" s="5" customFormat="1" ht="30" customHeight="1" x14ac:dyDescent="0.25">
      <c r="A202"/>
      <c r="B202" s="6"/>
    </row>
    <row r="203" spans="1:2" s="5" customFormat="1" ht="30" customHeight="1" x14ac:dyDescent="0.25">
      <c r="A203"/>
      <c r="B203" s="6"/>
    </row>
    <row r="204" spans="1:2" s="5" customFormat="1" ht="30" customHeight="1" x14ac:dyDescent="0.25">
      <c r="A204"/>
      <c r="B204" s="6"/>
    </row>
    <row r="205" spans="1:2" s="5" customFormat="1" ht="30" customHeight="1" x14ac:dyDescent="0.25">
      <c r="A205"/>
      <c r="B205" s="6"/>
    </row>
    <row r="206" spans="1:2" s="5" customFormat="1" ht="30" customHeight="1" x14ac:dyDescent="0.25">
      <c r="A206"/>
      <c r="B206" s="6"/>
    </row>
    <row r="207" spans="1:2" s="5" customFormat="1" ht="30" customHeight="1" x14ac:dyDescent="0.25">
      <c r="A207"/>
      <c r="B207" s="6"/>
    </row>
    <row r="208" spans="1:2" s="5" customFormat="1" ht="30" customHeight="1" x14ac:dyDescent="0.25">
      <c r="A208"/>
      <c r="B208" s="6"/>
    </row>
    <row r="209" spans="1:2" s="5" customFormat="1" ht="30" customHeight="1" x14ac:dyDescent="0.25">
      <c r="A209"/>
      <c r="B209" s="6"/>
    </row>
    <row r="210" spans="1:2" s="5" customFormat="1" ht="30" customHeight="1" x14ac:dyDescent="0.25">
      <c r="A210"/>
      <c r="B210" s="6"/>
    </row>
    <row r="211" spans="1:2" s="5" customFormat="1" ht="30" customHeight="1" x14ac:dyDescent="0.25">
      <c r="A211"/>
      <c r="B211" s="6"/>
    </row>
    <row r="212" spans="1:2" s="5" customFormat="1" ht="30" customHeight="1" x14ac:dyDescent="0.25">
      <c r="A212"/>
      <c r="B212" s="6"/>
    </row>
    <row r="213" spans="1:2" s="5" customFormat="1" ht="30" customHeight="1" x14ac:dyDescent="0.25">
      <c r="A213"/>
      <c r="B213" s="6"/>
    </row>
    <row r="214" spans="1:2" s="5" customFormat="1" ht="30" customHeight="1" x14ac:dyDescent="0.25">
      <c r="A214"/>
      <c r="B214" s="6"/>
    </row>
    <row r="215" spans="1:2" s="5" customFormat="1" ht="30" customHeight="1" x14ac:dyDescent="0.25">
      <c r="A215"/>
      <c r="B215" s="6"/>
    </row>
    <row r="216" spans="1:2" s="5" customFormat="1" ht="30" customHeight="1" x14ac:dyDescent="0.25">
      <c r="A216"/>
      <c r="B216" s="6"/>
    </row>
    <row r="217" spans="1:2" s="5" customFormat="1" ht="30" customHeight="1" x14ac:dyDescent="0.25">
      <c r="A217"/>
      <c r="B217" s="6"/>
    </row>
    <row r="218" spans="1:2" s="5" customFormat="1" ht="30" customHeight="1" x14ac:dyDescent="0.25">
      <c r="A218"/>
      <c r="B218" s="6"/>
    </row>
    <row r="219" spans="1:2" s="5" customFormat="1" ht="30" customHeight="1" x14ac:dyDescent="0.25">
      <c r="A219"/>
      <c r="B219" s="6"/>
    </row>
    <row r="220" spans="1:2" s="5" customFormat="1" ht="30" customHeight="1" x14ac:dyDescent="0.25">
      <c r="A220"/>
      <c r="B220" s="6"/>
    </row>
    <row r="221" spans="1:2" s="5" customFormat="1" ht="30" customHeight="1" x14ac:dyDescent="0.25">
      <c r="A221"/>
      <c r="B221" s="6"/>
    </row>
    <row r="222" spans="1:2" s="5" customFormat="1" ht="30" customHeight="1" x14ac:dyDescent="0.25">
      <c r="A222"/>
      <c r="B222" s="6"/>
    </row>
    <row r="223" spans="1:2" s="5" customFormat="1" ht="30" customHeight="1" x14ac:dyDescent="0.25">
      <c r="A223"/>
      <c r="B223" s="6"/>
    </row>
    <row r="224" spans="1:2" s="5" customFormat="1" ht="30" customHeight="1" x14ac:dyDescent="0.25">
      <c r="A224"/>
      <c r="B224" s="6"/>
    </row>
    <row r="225" spans="1:2" s="5" customFormat="1" ht="30" customHeight="1" x14ac:dyDescent="0.25">
      <c r="A225"/>
      <c r="B225" s="6"/>
    </row>
    <row r="226" spans="1:2" s="5" customFormat="1" ht="30" customHeight="1" x14ac:dyDescent="0.25">
      <c r="A226"/>
      <c r="B226" s="6"/>
    </row>
    <row r="227" spans="1:2" s="5" customFormat="1" ht="30" customHeight="1" x14ac:dyDescent="0.25">
      <c r="A227"/>
      <c r="B227" s="6"/>
    </row>
    <row r="228" spans="1:2" s="5" customFormat="1" ht="30" customHeight="1" x14ac:dyDescent="0.25">
      <c r="A228"/>
      <c r="B228" s="6"/>
    </row>
    <row r="229" spans="1:2" s="5" customFormat="1" ht="30" customHeight="1" x14ac:dyDescent="0.25">
      <c r="A229"/>
      <c r="B229" s="6"/>
    </row>
    <row r="230" spans="1:2" s="5" customFormat="1" ht="30" customHeight="1" x14ac:dyDescent="0.25">
      <c r="A230"/>
      <c r="B230" s="6"/>
    </row>
    <row r="231" spans="1:2" s="5" customFormat="1" ht="30" customHeight="1" x14ac:dyDescent="0.25">
      <c r="A231"/>
      <c r="B231" s="6"/>
    </row>
    <row r="232" spans="1:2" s="5" customFormat="1" ht="30" customHeight="1" x14ac:dyDescent="0.25">
      <c r="A232"/>
      <c r="B232" s="6"/>
    </row>
    <row r="233" spans="1:2" s="5" customFormat="1" ht="30" customHeight="1" x14ac:dyDescent="0.25">
      <c r="A233"/>
      <c r="B233" s="6"/>
    </row>
    <row r="234" spans="1:2" s="5" customFormat="1" ht="30" customHeight="1" x14ac:dyDescent="0.25">
      <c r="A234"/>
      <c r="B234" s="6"/>
    </row>
    <row r="235" spans="1:2" s="5" customFormat="1" ht="30" customHeight="1" x14ac:dyDescent="0.25">
      <c r="A235"/>
      <c r="B235" s="6"/>
    </row>
    <row r="236" spans="1:2" s="5" customFormat="1" ht="30" customHeight="1" x14ac:dyDescent="0.25">
      <c r="A236"/>
      <c r="B236" s="6"/>
    </row>
    <row r="237" spans="1:2" s="5" customFormat="1" ht="30" customHeight="1" x14ac:dyDescent="0.25">
      <c r="A237"/>
      <c r="B237" s="6"/>
    </row>
    <row r="238" spans="1:2" s="5" customFormat="1" ht="30" customHeight="1" x14ac:dyDescent="0.25">
      <c r="A238"/>
      <c r="B238" s="6"/>
    </row>
    <row r="239" spans="1:2" s="5" customFormat="1" ht="30" customHeight="1" x14ac:dyDescent="0.25">
      <c r="A239"/>
      <c r="B239" s="6"/>
    </row>
    <row r="240" spans="1:2" s="5" customFormat="1" ht="30" customHeight="1" x14ac:dyDescent="0.25">
      <c r="A240"/>
      <c r="B240" s="6"/>
    </row>
    <row r="241" spans="1:2" s="5" customFormat="1" ht="30" customHeight="1" x14ac:dyDescent="0.25">
      <c r="A241"/>
      <c r="B241" s="6"/>
    </row>
    <row r="242" spans="1:2" s="5" customFormat="1" ht="30" customHeight="1" x14ac:dyDescent="0.25">
      <c r="A242"/>
      <c r="B242" s="6"/>
    </row>
    <row r="243" spans="1:2" s="5" customFormat="1" ht="30" customHeight="1" x14ac:dyDescent="0.25">
      <c r="A243"/>
      <c r="B243" s="6"/>
    </row>
    <row r="244" spans="1:2" s="5" customFormat="1" ht="30" customHeight="1" x14ac:dyDescent="0.25">
      <c r="A244"/>
      <c r="B244" s="6"/>
    </row>
    <row r="245" spans="1:2" s="5" customFormat="1" ht="30" customHeight="1" x14ac:dyDescent="0.25">
      <c r="A245"/>
      <c r="B245" s="6"/>
    </row>
    <row r="246" spans="1:2" s="5" customFormat="1" ht="30" customHeight="1" x14ac:dyDescent="0.25">
      <c r="A246"/>
      <c r="B246" s="6"/>
    </row>
    <row r="247" spans="1:2" s="5" customFormat="1" ht="30" customHeight="1" x14ac:dyDescent="0.25">
      <c r="A247"/>
      <c r="B247" s="6"/>
    </row>
    <row r="248" spans="1:2" s="5" customFormat="1" ht="30" customHeight="1" x14ac:dyDescent="0.25">
      <c r="A248"/>
      <c r="B248" s="6"/>
    </row>
    <row r="249" spans="1:2" s="5" customFormat="1" ht="30" customHeight="1" x14ac:dyDescent="0.25">
      <c r="A249"/>
      <c r="B249" s="6"/>
    </row>
    <row r="250" spans="1:2" s="5" customFormat="1" ht="30" customHeight="1" x14ac:dyDescent="0.25">
      <c r="A250"/>
      <c r="B250" s="6"/>
    </row>
    <row r="251" spans="1:2" s="5" customFormat="1" ht="30" customHeight="1" x14ac:dyDescent="0.25">
      <c r="A251"/>
      <c r="B251" s="6"/>
    </row>
    <row r="252" spans="1:2" s="5" customFormat="1" ht="30" customHeight="1" x14ac:dyDescent="0.25">
      <c r="A252"/>
      <c r="B252" s="6"/>
    </row>
    <row r="253" spans="1:2" s="5" customFormat="1" ht="30" customHeight="1" x14ac:dyDescent="0.25">
      <c r="A253"/>
      <c r="B253" s="6"/>
    </row>
    <row r="254" spans="1:2" s="5" customFormat="1" ht="30" customHeight="1" x14ac:dyDescent="0.25">
      <c r="A254"/>
      <c r="B254" s="6"/>
    </row>
    <row r="255" spans="1:2" s="5" customFormat="1" ht="30" customHeight="1" x14ac:dyDescent="0.25">
      <c r="A255"/>
      <c r="B255" s="6"/>
    </row>
    <row r="256" spans="1:2" s="5" customFormat="1" ht="30" customHeight="1" x14ac:dyDescent="0.25">
      <c r="A256"/>
      <c r="B256" s="6"/>
    </row>
    <row r="257" spans="1:2" s="5" customFormat="1" ht="30" customHeight="1" x14ac:dyDescent="0.25">
      <c r="A257"/>
      <c r="B257" s="6"/>
    </row>
    <row r="258" spans="1:2" s="5" customFormat="1" ht="30" customHeight="1" x14ac:dyDescent="0.25">
      <c r="A258"/>
      <c r="B258" s="6"/>
    </row>
    <row r="259" spans="1:2" s="5" customFormat="1" ht="30" customHeight="1" x14ac:dyDescent="0.25">
      <c r="A259"/>
      <c r="B259" s="6"/>
    </row>
    <row r="260" spans="1:2" s="5" customFormat="1" ht="30" customHeight="1" x14ac:dyDescent="0.25">
      <c r="A260"/>
      <c r="B260" s="6"/>
    </row>
    <row r="261" spans="1:2" s="5" customFormat="1" ht="30" customHeight="1" x14ac:dyDescent="0.25">
      <c r="A261"/>
      <c r="B261" s="6"/>
    </row>
    <row r="262" spans="1:2" s="5" customFormat="1" ht="30" customHeight="1" x14ac:dyDescent="0.25">
      <c r="A262"/>
      <c r="B262" s="6"/>
    </row>
    <row r="263" spans="1:2" s="5" customFormat="1" ht="30" customHeight="1" x14ac:dyDescent="0.25">
      <c r="A263"/>
      <c r="B263" s="6"/>
    </row>
    <row r="264" spans="1:2" s="5" customFormat="1" ht="30" customHeight="1" x14ac:dyDescent="0.25">
      <c r="A264"/>
      <c r="B264" s="6"/>
    </row>
    <row r="265" spans="1:2" s="5" customFormat="1" ht="30" customHeight="1" x14ac:dyDescent="0.25">
      <c r="A265"/>
      <c r="B265" s="6"/>
    </row>
    <row r="266" spans="1:2" s="5" customFormat="1" ht="30" customHeight="1" x14ac:dyDescent="0.25">
      <c r="A266"/>
      <c r="B266" s="6"/>
    </row>
    <row r="267" spans="1:2" s="5" customFormat="1" ht="30" customHeight="1" x14ac:dyDescent="0.25">
      <c r="A267"/>
      <c r="B267" s="6"/>
    </row>
    <row r="268" spans="1:2" s="5" customFormat="1" ht="30" customHeight="1" x14ac:dyDescent="0.25">
      <c r="A268"/>
      <c r="B268" s="6"/>
    </row>
    <row r="269" spans="1:2" s="5" customFormat="1" ht="30" customHeight="1" x14ac:dyDescent="0.25">
      <c r="A269"/>
      <c r="B269" s="6"/>
    </row>
    <row r="270" spans="1:2" s="5" customFormat="1" ht="30" customHeight="1" x14ac:dyDescent="0.25">
      <c r="A270"/>
      <c r="B270" s="6"/>
    </row>
    <row r="271" spans="1:2" s="5" customFormat="1" ht="30" customHeight="1" x14ac:dyDescent="0.25">
      <c r="A271"/>
      <c r="B271" s="6"/>
    </row>
    <row r="272" spans="1:2" s="5" customFormat="1" ht="30" customHeight="1" x14ac:dyDescent="0.25">
      <c r="A272"/>
      <c r="B272" s="6"/>
    </row>
    <row r="273" spans="1:2" s="5" customFormat="1" ht="30" customHeight="1" x14ac:dyDescent="0.25">
      <c r="A273"/>
      <c r="B273" s="6"/>
    </row>
    <row r="274" spans="1:2" s="5" customFormat="1" ht="30" customHeight="1" x14ac:dyDescent="0.25">
      <c r="A274"/>
      <c r="B274" s="6"/>
    </row>
    <row r="275" spans="1:2" s="5" customFormat="1" ht="30" customHeight="1" x14ac:dyDescent="0.25">
      <c r="A275"/>
      <c r="B275" s="6"/>
    </row>
    <row r="276" spans="1:2" s="5" customFormat="1" ht="30" customHeight="1" x14ac:dyDescent="0.25">
      <c r="A276"/>
      <c r="B276" s="6"/>
    </row>
    <row r="277" spans="1:2" s="5" customFormat="1" ht="30" customHeight="1" x14ac:dyDescent="0.25">
      <c r="A277"/>
      <c r="B277" s="6"/>
    </row>
    <row r="278" spans="1:2" s="5" customFormat="1" ht="30" customHeight="1" x14ac:dyDescent="0.25">
      <c r="A278"/>
      <c r="B278" s="6"/>
    </row>
    <row r="279" spans="1:2" s="5" customFormat="1" ht="30" customHeight="1" x14ac:dyDescent="0.25">
      <c r="A279"/>
      <c r="B279" s="6"/>
    </row>
    <row r="280" spans="1:2" s="5" customFormat="1" ht="30" customHeight="1" x14ac:dyDescent="0.25">
      <c r="A280"/>
      <c r="B280" s="6"/>
    </row>
    <row r="281" spans="1:2" s="5" customFormat="1" ht="30" customHeight="1" x14ac:dyDescent="0.25">
      <c r="A281"/>
      <c r="B281" s="6"/>
    </row>
    <row r="282" spans="1:2" s="5" customFormat="1" ht="30" customHeight="1" x14ac:dyDescent="0.25">
      <c r="A282"/>
      <c r="B282" s="6"/>
    </row>
    <row r="283" spans="1:2" s="5" customFormat="1" ht="30" customHeight="1" x14ac:dyDescent="0.25">
      <c r="A283"/>
      <c r="B283" s="6"/>
    </row>
    <row r="284" spans="1:2" s="5" customFormat="1" ht="30" customHeight="1" x14ac:dyDescent="0.25">
      <c r="A284"/>
      <c r="B284" s="6"/>
    </row>
    <row r="285" spans="1:2" s="5" customFormat="1" ht="30" customHeight="1" x14ac:dyDescent="0.25">
      <c r="A285"/>
      <c r="B285" s="6"/>
    </row>
    <row r="286" spans="1:2" s="5" customFormat="1" ht="30" customHeight="1" x14ac:dyDescent="0.25">
      <c r="A286"/>
      <c r="B286" s="6"/>
    </row>
    <row r="287" spans="1:2" s="5" customFormat="1" ht="30" customHeight="1" x14ac:dyDescent="0.25">
      <c r="A287"/>
      <c r="B287" s="6"/>
    </row>
    <row r="288" spans="1:2" s="5" customFormat="1" ht="30" customHeight="1" x14ac:dyDescent="0.25">
      <c r="A288"/>
      <c r="B288" s="6"/>
    </row>
    <row r="289" spans="1:2" s="5" customFormat="1" ht="30" customHeight="1" x14ac:dyDescent="0.25">
      <c r="A289"/>
      <c r="B289" s="6"/>
    </row>
    <row r="290" spans="1:2" s="5" customFormat="1" ht="30" customHeight="1" x14ac:dyDescent="0.25">
      <c r="A290"/>
      <c r="B290" s="6"/>
    </row>
    <row r="291" spans="1:2" s="5" customFormat="1" ht="30" customHeight="1" x14ac:dyDescent="0.25">
      <c r="A291"/>
      <c r="B291" s="6"/>
    </row>
    <row r="292" spans="1:2" s="5" customFormat="1" ht="30" customHeight="1" x14ac:dyDescent="0.25">
      <c r="A292"/>
      <c r="B292" s="6"/>
    </row>
    <row r="293" spans="1:2" s="5" customFormat="1" ht="30" customHeight="1" x14ac:dyDescent="0.25">
      <c r="A293"/>
      <c r="B293" s="6"/>
    </row>
    <row r="294" spans="1:2" s="5" customFormat="1" ht="30" customHeight="1" x14ac:dyDescent="0.25">
      <c r="A294"/>
      <c r="B294" s="6"/>
    </row>
    <row r="295" spans="1:2" s="5" customFormat="1" ht="30" customHeight="1" x14ac:dyDescent="0.25">
      <c r="A295"/>
      <c r="B295" s="6"/>
    </row>
    <row r="296" spans="1:2" s="5" customFormat="1" ht="30" customHeight="1" x14ac:dyDescent="0.25">
      <c r="A296"/>
      <c r="B296" s="6"/>
    </row>
    <row r="297" spans="1:2" s="5" customFormat="1" ht="30" customHeight="1" x14ac:dyDescent="0.25">
      <c r="A297"/>
      <c r="B297" s="6"/>
    </row>
    <row r="298" spans="1:2" s="5" customFormat="1" ht="30" customHeight="1" x14ac:dyDescent="0.25">
      <c r="A298"/>
      <c r="B298" s="6"/>
    </row>
    <row r="299" spans="1:2" s="5" customFormat="1" ht="30" customHeight="1" x14ac:dyDescent="0.25">
      <c r="A299"/>
      <c r="B299" s="6"/>
    </row>
    <row r="300" spans="1:2" s="5" customFormat="1" ht="30" customHeight="1" x14ac:dyDescent="0.25">
      <c r="A300"/>
      <c r="B300" s="6"/>
    </row>
    <row r="301" spans="1:2" s="5" customFormat="1" ht="30" customHeight="1" x14ac:dyDescent="0.25">
      <c r="A301"/>
      <c r="B301" s="6"/>
    </row>
    <row r="302" spans="1:2" s="5" customFormat="1" ht="30" customHeight="1" x14ac:dyDescent="0.25">
      <c r="A302"/>
      <c r="B302" s="6"/>
    </row>
    <row r="303" spans="1:2" s="5" customFormat="1" ht="30" customHeight="1" x14ac:dyDescent="0.25">
      <c r="A303"/>
      <c r="B303" s="6"/>
    </row>
    <row r="304" spans="1:2" s="5" customFormat="1" ht="30" customHeight="1" x14ac:dyDescent="0.25">
      <c r="A304"/>
      <c r="B304" s="6"/>
    </row>
    <row r="305" spans="1:2" s="5" customFormat="1" ht="30" customHeight="1" x14ac:dyDescent="0.25">
      <c r="A305"/>
      <c r="B305" s="6"/>
    </row>
    <row r="306" spans="1:2" s="5" customFormat="1" ht="30" customHeight="1" x14ac:dyDescent="0.25">
      <c r="A306"/>
      <c r="B306" s="6"/>
    </row>
    <row r="307" spans="1:2" s="5" customFormat="1" ht="30" customHeight="1" x14ac:dyDescent="0.25">
      <c r="A307"/>
      <c r="B307" s="6"/>
    </row>
    <row r="308" spans="1:2" s="5" customFormat="1" ht="30" customHeight="1" x14ac:dyDescent="0.25">
      <c r="A308"/>
      <c r="B308" s="6"/>
    </row>
    <row r="309" spans="1:2" s="5" customFormat="1" ht="30" customHeight="1" x14ac:dyDescent="0.25">
      <c r="A309"/>
      <c r="B309" s="6"/>
    </row>
    <row r="310" spans="1:2" s="5" customFormat="1" ht="30" customHeight="1" x14ac:dyDescent="0.25">
      <c r="A310"/>
      <c r="B310" s="6"/>
    </row>
    <row r="311" spans="1:2" s="5" customFormat="1" ht="30" customHeight="1" x14ac:dyDescent="0.25">
      <c r="A311"/>
      <c r="B311" s="6"/>
    </row>
    <row r="312" spans="1:2" s="5" customFormat="1" ht="30" customHeight="1" x14ac:dyDescent="0.25">
      <c r="A312"/>
      <c r="B312" s="6"/>
    </row>
    <row r="313" spans="1:2" s="5" customFormat="1" ht="30" customHeight="1" x14ac:dyDescent="0.25">
      <c r="A313"/>
      <c r="B313" s="6"/>
    </row>
    <row r="314" spans="1:2" s="5" customFormat="1" ht="30" customHeight="1" x14ac:dyDescent="0.25">
      <c r="A314"/>
      <c r="B314" s="6"/>
    </row>
    <row r="315" spans="1:2" s="5" customFormat="1" ht="30" customHeight="1" x14ac:dyDescent="0.25">
      <c r="A315"/>
      <c r="B315" s="6"/>
    </row>
    <row r="316" spans="1:2" s="5" customFormat="1" ht="30" customHeight="1" x14ac:dyDescent="0.25">
      <c r="A316"/>
      <c r="B316" s="6"/>
    </row>
    <row r="317" spans="1:2" s="5" customFormat="1" ht="30" customHeight="1" x14ac:dyDescent="0.25">
      <c r="A317"/>
      <c r="B317" s="6"/>
    </row>
    <row r="318" spans="1:2" s="5" customFormat="1" ht="30" customHeight="1" x14ac:dyDescent="0.25">
      <c r="A318"/>
      <c r="B318" s="6"/>
    </row>
    <row r="319" spans="1:2" s="5" customFormat="1" ht="30" customHeight="1" x14ac:dyDescent="0.25">
      <c r="A319"/>
      <c r="B319" s="6"/>
    </row>
    <row r="320" spans="1:2" s="5" customFormat="1" ht="30" customHeight="1" x14ac:dyDescent="0.25">
      <c r="A320"/>
      <c r="B320" s="6"/>
    </row>
    <row r="321" spans="1:2" s="5" customFormat="1" ht="30" customHeight="1" x14ac:dyDescent="0.25">
      <c r="A321"/>
      <c r="B321" s="6"/>
    </row>
    <row r="322" spans="1:2" s="5" customFormat="1" ht="30" customHeight="1" x14ac:dyDescent="0.25">
      <c r="A322"/>
      <c r="B322" s="6"/>
    </row>
    <row r="323" spans="1:2" s="5" customFormat="1" ht="30" customHeight="1" x14ac:dyDescent="0.25">
      <c r="A323"/>
      <c r="B323" s="6"/>
    </row>
    <row r="324" spans="1:2" s="5" customFormat="1" ht="30" customHeight="1" x14ac:dyDescent="0.25">
      <c r="A324"/>
      <c r="B324" s="6"/>
    </row>
  </sheetData>
  <mergeCells count="12">
    <mergeCell ref="R9:R11"/>
    <mergeCell ref="E10:G10"/>
    <mergeCell ref="H10:J10"/>
    <mergeCell ref="E9:J9"/>
    <mergeCell ref="K10:M10"/>
    <mergeCell ref="K9:P9"/>
    <mergeCell ref="N10:P10"/>
    <mergeCell ref="P2:Q2"/>
    <mergeCell ref="B9:B11"/>
    <mergeCell ref="C9:C11"/>
    <mergeCell ref="D9:D11"/>
    <mergeCell ref="Q9:Q11"/>
  </mergeCells>
  <conditionalFormatting sqref="D14:D18">
    <cfRule type="containsText" dxfId="7" priority="1" operator="containsText" text="U/R">
      <formula>NOT(ISERROR(SEARCH("U/R",D14)))</formula>
    </cfRule>
    <cfRule type="containsText" dxfId="6" priority="2" operator="containsText" text="C">
      <formula>NOT(ISERROR(SEARCH("C",D14)))</formula>
    </cfRule>
    <cfRule type="containsText" dxfId="5" priority="3" operator="containsText" text="B">
      <formula>NOT(ISERROR(SEARCH("B",D14)))</formula>
    </cfRule>
    <cfRule type="containsText" dxfId="4" priority="4" operator="containsText" text="A">
      <formula>NOT(ISERROR(SEARCH("A",D14)))</formula>
    </cfRule>
  </conditionalFormatting>
  <conditionalFormatting sqref="P14:P19 G14:G39 J14:J39 M14:M39">
    <cfRule type="containsText" dxfId="3" priority="5" operator="containsText" text="U/R">
      <formula>NOT(ISERROR(SEARCH("U/R",G14)))</formula>
    </cfRule>
    <cfRule type="containsText" dxfId="2" priority="6" operator="containsText" text="C">
      <formula>NOT(ISERROR(SEARCH("C",G14)))</formula>
    </cfRule>
    <cfRule type="containsText" dxfId="1" priority="7" operator="containsText" text="B">
      <formula>NOT(ISERROR(SEARCH("B",G14)))</formula>
    </cfRule>
    <cfRule type="containsText" dxfId="0" priority="8" operator="containsText" text="A">
      <formula>NOT(ISERROR(SEARCH("A",G14)))</formula>
    </cfRule>
  </conditionalFormatting>
  <dataValidations count="1">
    <dataValidation type="list" allowBlank="1" showInputMessage="1" showErrorMessage="1" sqref="D12:D1048576" xr:uid="{78F77638-ACD7-40BE-886A-C266EB3B24E4}">
      <formula1>"A, B, C, U/R, Infor."</formula1>
    </dataValidation>
  </dataValidations>
  <pageMargins left="0.7" right="0.7" top="0.75" bottom="0.75" header="0.3" footer="0.3"/>
  <pageSetup paperSize="8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SHOP DRAWING MEP</vt:lpstr>
      <vt:lpstr>MAR MEP  </vt:lpstr>
      <vt:lpstr>NCR &amp; RFI</vt:lpstr>
      <vt:lpstr>REQUEST FOR INSPECTION (RI)</vt:lpstr>
      <vt:lpstr>SMCD INTERNAL WORK</vt:lpstr>
      <vt:lpstr>'MAR MEP  '!Print_Area</vt:lpstr>
      <vt:lpstr>'NCR &amp; RFI'!Print_Area</vt:lpstr>
      <vt:lpstr>'REQUEST FOR INSPECTION (RI)'!Print_Area</vt:lpstr>
      <vt:lpstr>'SHOP DRAWING MEP'!Print_Area</vt:lpstr>
      <vt:lpstr>'SMCD INTERNAL WORK'!Print_Area</vt:lpstr>
      <vt:lpstr>'MAR MEP  '!Print_Titles</vt:lpstr>
      <vt:lpstr>'NCR &amp; RFI'!Print_Titles</vt:lpstr>
      <vt:lpstr>'REQUEST FOR INSPECTION (RI)'!Print_Titles</vt:lpstr>
      <vt:lpstr>'SHOP DRAWING MEP'!Print_Titles</vt:lpstr>
      <vt:lpstr>'SMCD INTERNAL WORK'!Print_Titles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 Kholy</dc:creator>
  <cp:lastModifiedBy>Tearn heng</cp:lastModifiedBy>
  <cp:lastPrinted>2025-02-20T10:31:47Z</cp:lastPrinted>
  <dcterms:created xsi:type="dcterms:W3CDTF">2019-03-25T10:58:08Z</dcterms:created>
  <dcterms:modified xsi:type="dcterms:W3CDTF">2025-02-20T10:31:53Z</dcterms:modified>
</cp:coreProperties>
</file>